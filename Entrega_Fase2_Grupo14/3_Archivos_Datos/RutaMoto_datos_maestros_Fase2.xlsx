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ME" sheetId="1" r:id="rId1"/>
    <sheet name="1_Productos" sheetId="2" r:id="rId2"/>
    <sheet name="2_Existencias_iniciales" sheetId="3" r:id="rId3"/>
    <sheet name="3_Reglas_reabastecimiento" sheetId="4" r:id="rId4"/>
    <sheet name="4_Proveedores" sheetId="5" r:id="rId5"/>
    <sheet name="5_Contactos_proveedores" sheetId="6" r:id="rId6"/>
    <sheet name="6_Productos_por_proveedor" sheetId="7" r:id="rId7"/>
    <sheet name="7_Clientes" sheetId="8" r:id="rId8"/>
    <sheet name="NO_IMPORTAR_carga_manual" sheetId="9" r:id="rId9"/>
    <sheet name="Diccionario" sheetId="10" r:id="rId10"/>
    <sheet name="Cuadre" sheetId="11" r:id="rId11"/>
  </sheets>
  <definedNames>
    <definedName name="_xlnm._FilterDatabase" localSheetId="1" hidden="1">'1_Productos'!$A$1:$J$31</definedName>
    <definedName name="_xlnm._FilterDatabase" localSheetId="2" hidden="1">'2_Existencias_iniciales'!$A$1:$F$31</definedName>
    <definedName name="_xlnm._FilterDatabase" localSheetId="3" hidden="1">'3_Reglas_reabastecimiento'!$A$1:$F$31</definedName>
    <definedName name="_xlnm._FilterDatabase" localSheetId="4" hidden="1">'4_Proveedores'!$A$1:$J$6</definedName>
    <definedName name="_xlnm._FilterDatabase" localSheetId="5" hidden="1">'5_Contactos_proveedores'!$A$1:$E$6</definedName>
    <definedName name="_xlnm._FilterDatabase" localSheetId="6" hidden="1">'6_Productos_por_proveedor'!$A$1:$F$31</definedName>
    <definedName name="_xlnm._FilterDatabase" localSheetId="7" hidden="1">'7_Clientes'!$A$1:$H$36</definedName>
    <definedName name="_xlnm._FilterDatabase" localSheetId="9" hidden="1">Diccionario!$A$1:$D$14</definedName>
  </definedNames>
  <calcPr calcId="124519" fullCalcOnLoad="1"/>
</workbook>
</file>

<file path=xl/sharedStrings.xml><?xml version="1.0" encoding="utf-8"?>
<sst xmlns="http://schemas.openxmlformats.org/spreadsheetml/2006/main" count="1085" uniqueCount="472">
  <si>
    <t>RutaMoto · Datos maestros para la carga en Odoo · Fase 2 · Grupo 14</t>
  </si>
  <si>
    <t>Archivo entregable «Archivos de datos» (enunciado 4.4). Es el que se importa en la sección 12.1.</t>
  </si>
  <si>
    <t>Qué es</t>
  </si>
  <si>
    <t>Una hoja por cada cosa que se importa. Odoo importa UNA hoja a la vez: en la pantalla de importación elegís la hoja en el selector de arriba.</t>
  </si>
  <si>
    <t>Columnas azules</t>
  </si>
  <si>
    <t>Se importan. El encabezado está escrito como lo llama Odoo en español; si Odoo no lo reconoce solo, elegí el campo a mano en la columna «Campo de Odoo». La hoja «Diccionario» dice cuál es cada uno.</t>
  </si>
  <si>
    <t>Columnas grises en cursiva</t>
  </si>
  <si>
    <t>Son informativas (para que el catedrático lea el archivo y para cuadrar números). En la importación se dejan en «No importar».</t>
  </si>
  <si>
    <t>Orden de importación</t>
  </si>
  <si>
    <t>Es obligatorio, porque cada hoja apunta a registros que crea la anterior:</t>
  </si>
  <si>
    <t>0. Antes de importar, crear a mano en Odoo: las 6 categorías de producto (sin categoría padre), las 4 etiquetas de contacto (segmentos) y el término de pago «50% anticipo, 50% contra entrega». Ver manual MU-01, capítulo 1.</t>
  </si>
  <si>
    <t>1_Productos  →  2_Existencias_iniciales  →  3_Reglas_reabastecimiento  →  4_Proveedores  →  5_Contactos_proveedores  →  6_Productos_por_proveedor  →  7_Clientes</t>
  </si>
  <si>
    <t>Prueba antes de importar</t>
  </si>
  <si>
    <t>Usá SIEMPRE el botón «Probar» antes de «Importar». Si Probar marca errores, no se importa nada y la base queda limpia. Capturá esa pantalla: el mensaje de validación es evidencia.</t>
  </si>
  <si>
    <t>Respaldo</t>
  </si>
  <si>
    <t>Sacá un respaldo de la base (gestor /web/database/manager) ANTES de la primera importación. Si algo sale mal, se restaura y se vuelve a intentar.</t>
  </si>
  <si>
    <t>Imágenes</t>
  </si>
  <si>
    <t>La columna «Imagen» trae la URL pública de cada imagen en el repositorio del grupo (github.com/Santiago78op/SOG-G14-Proyecto). Odoo la descarga sola al importar. Si falla (sin internet o repo privado), dejá la columna en «No importar» y subí las imágenes a mano desde la ficha de cada producto.</t>
  </si>
  <si>
    <t>Carga manual</t>
  </si>
  <si>
    <t>La hoja «NO_IMPORTAR_carga_manual» trae lo que se carga A MANO desde los formularios de Odoo (rol 2): la categoría Accesorios completa, su proveedor y 5 clientes. No se importa: el enunciado pide las dos modalidades.</t>
  </si>
  <si>
    <t>Cuadre</t>
  </si>
  <si>
    <t>El inventario inicial de los 36 productos, valorizado al costo, suma exactamente Q 45,000.00: la misma cifra del presupuesto pre-operativo de la Fase 1 (sección 9.3). Ver hoja «Cuadre».</t>
  </si>
  <si>
    <t>Correos</t>
  </si>
  <si>
    <t>Todos los correos son @example.com, un dominio reservado para ejemplos: nunca le llega un correo a una persona real. Los nombres, teléfonos y direcciones son ficticios.</t>
  </si>
  <si>
    <t>Referencia interna</t>
  </si>
  <si>
    <t>Nombre</t>
  </si>
  <si>
    <t>Categoría de producto</t>
  </si>
  <si>
    <t>Precio de venta</t>
  </si>
  <si>
    <t>Costo</t>
  </si>
  <si>
    <t>Rastrear inventario</t>
  </si>
  <si>
    <t>Puede ser vendido</t>
  </si>
  <si>
    <t>Puede ser comprado</t>
  </si>
  <si>
    <t>Imagen</t>
  </si>
  <si>
    <t>Stock inicial (informativo)</t>
  </si>
  <si>
    <t>LUB-001</t>
  </si>
  <si>
    <t>Aceite mineral 20W-50, 1 L</t>
  </si>
  <si>
    <t>Lubricantes y filtros</t>
  </si>
  <si>
    <t>True</t>
  </si>
  <si>
    <t>https://raw.githubusercontent.com/Santiago78op/SOG-G14-Proyecto/main/Entrega_Fase2_Grupo14/3_Archivos_Datos/imagenes_productos/LUB-001.png</t>
  </si>
  <si>
    <t>LUB-002</t>
  </si>
  <si>
    <t>Aceite semisintético 10W-40, 1 L</t>
  </si>
  <si>
    <t>https://raw.githubusercontent.com/Santiago78op/SOG-G14-Proyecto/main/Entrega_Fase2_Grupo14/3_Archivos_Datos/imagenes_productos/LUB-002.png</t>
  </si>
  <si>
    <t>LUB-003</t>
  </si>
  <si>
    <t>Aceite sintético 10W-40, 1 L</t>
  </si>
  <si>
    <t>https://raw.githubusercontent.com/Santiago78op/SOG-G14-Proyecto/main/Entrega_Fase2_Grupo14/3_Archivos_Datos/imagenes_productos/LUB-003.png</t>
  </si>
  <si>
    <t>LUB-004</t>
  </si>
  <si>
    <t>Filtro de aceite estándar</t>
  </si>
  <si>
    <t>https://raw.githubusercontent.com/Santiago78op/SOG-G14-Proyecto/main/Entrega_Fase2_Grupo14/3_Archivos_Datos/imagenes_productos/LUB-004.png</t>
  </si>
  <si>
    <t>LUB-005</t>
  </si>
  <si>
    <t>Filtro de aire de alto flujo</t>
  </si>
  <si>
    <t>https://raw.githubusercontent.com/Santiago78op/SOG-G14-Proyecto/main/Entrega_Fase2_Grupo14/3_Archivos_Datos/imagenes_productos/LUB-005.png</t>
  </si>
  <si>
    <t>LUB-006</t>
  </si>
  <si>
    <t>Kit de cambio de aceite (aceite + filtro + empaque)</t>
  </si>
  <si>
    <t>https://raw.githubusercontent.com/Santiago78op/SOG-G14-Proyecto/main/Entrega_Fase2_Grupo14/3_Archivos_Datos/imagenes_productos/LUB-006.png</t>
  </si>
  <si>
    <t>FRE-001</t>
  </si>
  <si>
    <t>Pastillas de freno delanteras</t>
  </si>
  <si>
    <t>Frenos y transmisión</t>
  </si>
  <si>
    <t>https://raw.githubusercontent.com/Santiago78op/SOG-G14-Proyecto/main/Entrega_Fase2_Grupo14/3_Archivos_Datos/imagenes_productos/FRE-001.png</t>
  </si>
  <si>
    <t>FRE-002</t>
  </si>
  <si>
    <t>Zapatas de freno traseras</t>
  </si>
  <si>
    <t>https://raw.githubusercontent.com/Santiago78op/SOG-G14-Proyecto/main/Entrega_Fase2_Grupo14/3_Archivos_Datos/imagenes_productos/FRE-002.png</t>
  </si>
  <si>
    <t>FRE-003</t>
  </si>
  <si>
    <t>Disco de freno delantero</t>
  </si>
  <si>
    <t>https://raw.githubusercontent.com/Santiago78op/SOG-G14-Proyecto/main/Entrega_Fase2_Grupo14/3_Archivos_Datos/imagenes_productos/FRE-003.png</t>
  </si>
  <si>
    <t>FRE-004</t>
  </si>
  <si>
    <t>Kit de arrastre (cadena y piñones)</t>
  </si>
  <si>
    <t>https://raw.githubusercontent.com/Santiago78op/SOG-G14-Proyecto/main/Entrega_Fase2_Grupo14/3_Archivos_Datos/imagenes_productos/FRE-004.png</t>
  </si>
  <si>
    <t>FRE-005</t>
  </si>
  <si>
    <t>Cadena de transmisión 428H</t>
  </si>
  <si>
    <t>https://raw.githubusercontent.com/Santiago78op/SOG-G14-Proyecto/main/Entrega_Fase2_Grupo14/3_Archivos_Datos/imagenes_productos/FRE-005.png</t>
  </si>
  <si>
    <t>FRE-006</t>
  </si>
  <si>
    <t>Líquido de frenos DOT 4, 500 ml</t>
  </si>
  <si>
    <t>https://raw.githubusercontent.com/Santiago78op/SOG-G14-Proyecto/main/Entrega_Fase2_Grupo14/3_Archivos_Datos/imagenes_productos/FRE-006.png</t>
  </si>
  <si>
    <t>LLA-001</t>
  </si>
  <si>
    <t>Llanta delantera 90/90-18</t>
  </si>
  <si>
    <t>Llantas y neumáticos</t>
  </si>
  <si>
    <t>https://raw.githubusercontent.com/Santiago78op/SOG-G14-Proyecto/main/Entrega_Fase2_Grupo14/3_Archivos_Datos/imagenes_productos/LLA-001.png</t>
  </si>
  <si>
    <t>LLA-002</t>
  </si>
  <si>
    <t>Llanta trasera 110/90-17</t>
  </si>
  <si>
    <t>https://raw.githubusercontent.com/Santiago78op/SOG-G14-Proyecto/main/Entrega_Fase2_Grupo14/3_Archivos_Datos/imagenes_productos/LLA-002.png</t>
  </si>
  <si>
    <t>LLA-003</t>
  </si>
  <si>
    <t>Llanta 80/100-14</t>
  </si>
  <si>
    <t>https://raw.githubusercontent.com/Santiago78op/SOG-G14-Proyecto/main/Entrega_Fase2_Grupo14/3_Archivos_Datos/imagenes_productos/LLA-003.png</t>
  </si>
  <si>
    <t>LLA-004</t>
  </si>
  <si>
    <t>Neumático (tubo) rin 17"</t>
  </si>
  <si>
    <t>https://raw.githubusercontent.com/Santiago78op/SOG-G14-Proyecto/main/Entrega_Fase2_Grupo14/3_Archivos_Datos/imagenes_productos/LLA-004.png</t>
  </si>
  <si>
    <t>LLA-005</t>
  </si>
  <si>
    <t>Kit de reparación de pinchazos</t>
  </si>
  <si>
    <t>https://raw.githubusercontent.com/Santiago78op/SOG-G14-Proyecto/main/Entrega_Fase2_Grupo14/3_Archivos_Datos/imagenes_productos/LLA-005.png</t>
  </si>
  <si>
    <t>LLA-006</t>
  </si>
  <si>
    <t>Válvula de neumático, par</t>
  </si>
  <si>
    <t>https://raw.githubusercontent.com/Santiago78op/SOG-G14-Proyecto/main/Entrega_Fase2_Grupo14/3_Archivos_Datos/imagenes_productos/LLA-006.png</t>
  </si>
  <si>
    <t>ELE-001</t>
  </si>
  <si>
    <t>Batería 12V 5Ah</t>
  </si>
  <si>
    <t>Sistema eléctrico e iluminación</t>
  </si>
  <si>
    <t>https://raw.githubusercontent.com/Santiago78op/SOG-G14-Proyecto/main/Entrega_Fase2_Grupo14/3_Archivos_Datos/imagenes_productos/ELE-001.png</t>
  </si>
  <si>
    <t>ELE-002</t>
  </si>
  <si>
    <t>Bujía estándar</t>
  </si>
  <si>
    <t>https://raw.githubusercontent.com/Santiago78op/SOG-G14-Proyecto/main/Entrega_Fase2_Grupo14/3_Archivos_Datos/imagenes_productos/ELE-002.png</t>
  </si>
  <si>
    <t>ELE-003</t>
  </si>
  <si>
    <t>Bujía de iridio</t>
  </si>
  <si>
    <t>https://raw.githubusercontent.com/Santiago78op/SOG-G14-Proyecto/main/Entrega_Fase2_Grupo14/3_Archivos_Datos/imagenes_productos/ELE-003.png</t>
  </si>
  <si>
    <t>ELE-004</t>
  </si>
  <si>
    <t>Foco LED H4</t>
  </si>
  <si>
    <t>https://raw.githubusercontent.com/Santiago78op/SOG-G14-Proyecto/main/Entrega_Fase2_Grupo14/3_Archivos_Datos/imagenes_productos/ELE-004.png</t>
  </si>
  <si>
    <t>ELE-005</t>
  </si>
  <si>
    <t>Kit de luces direccionales LED</t>
  </si>
  <si>
    <t>https://raw.githubusercontent.com/Santiago78op/SOG-G14-Proyecto/main/Entrega_Fase2_Grupo14/3_Archivos_Datos/imagenes_productos/ELE-005.png</t>
  </si>
  <si>
    <t>ELE-006</t>
  </si>
  <si>
    <t>Regulador de voltaje</t>
  </si>
  <si>
    <t>https://raw.githubusercontent.com/Santiago78op/SOG-G14-Proyecto/main/Entrega_Fase2_Grupo14/3_Archivos_Datos/imagenes_productos/ELE-006.png</t>
  </si>
  <si>
    <t>CAS-001</t>
  </si>
  <si>
    <t>Casco abierto certificado DOT</t>
  </si>
  <si>
    <t>Cascos y protección</t>
  </si>
  <si>
    <t>https://raw.githubusercontent.com/Santiago78op/SOG-G14-Proyecto/main/Entrega_Fase2_Grupo14/3_Archivos_Datos/imagenes_productos/CAS-001.png</t>
  </si>
  <si>
    <t>CAS-002</t>
  </si>
  <si>
    <t>Casco integral</t>
  </si>
  <si>
    <t>https://raw.githubusercontent.com/Santiago78op/SOG-G14-Proyecto/main/Entrega_Fase2_Grupo14/3_Archivos_Datos/imagenes_productos/CAS-002.png</t>
  </si>
  <si>
    <t>CAS-003</t>
  </si>
  <si>
    <t>Casco modular abatible</t>
  </si>
  <si>
    <t>https://raw.githubusercontent.com/Santiago78op/SOG-G14-Proyecto/main/Entrega_Fase2_Grupo14/3_Archivos_Datos/imagenes_productos/CAS-003.png</t>
  </si>
  <si>
    <t>CAS-004</t>
  </si>
  <si>
    <t>Guantes de protección</t>
  </si>
  <si>
    <t>https://raw.githubusercontent.com/Santiago78op/SOG-G14-Proyecto/main/Entrega_Fase2_Grupo14/3_Archivos_Datos/imagenes_productos/CAS-004.png</t>
  </si>
  <si>
    <t>CAS-005</t>
  </si>
  <si>
    <t>Chaqueta con protecciones</t>
  </si>
  <si>
    <t>https://raw.githubusercontent.com/Santiago78op/SOG-G14-Proyecto/main/Entrega_Fase2_Grupo14/3_Archivos_Datos/imagenes_productos/CAS-005.png</t>
  </si>
  <si>
    <t>CAS-006</t>
  </si>
  <si>
    <t>Rodilleras de protección</t>
  </si>
  <si>
    <t>https://raw.githubusercontent.com/Santiago78op/SOG-G14-Proyecto/main/Entrega_Fase2_Grupo14/3_Archivos_Datos/imagenes_productos/CAS-006.png</t>
  </si>
  <si>
    <t>Producto</t>
  </si>
  <si>
    <t>Ubicación</t>
  </si>
  <si>
    <t>Cantidad contada</t>
  </si>
  <si>
    <t>Nombre (informativo)</t>
  </si>
  <si>
    <t>Costo unitario (informativo)</t>
  </si>
  <si>
    <t>Valor al costo (informativo)</t>
  </si>
  <si>
    <t>WH/Existencias</t>
  </si>
  <si>
    <t>Total</t>
  </si>
  <si>
    <t>Cantidad mínima</t>
  </si>
  <si>
    <t>Cantidad máxima</t>
  </si>
  <si>
    <t>Estado al importar (informativo)</t>
  </si>
  <si>
    <t>OK</t>
  </si>
  <si>
    <t>BAJO EL MÍNIMO: dispara alerta</t>
  </si>
  <si>
    <t>QUIEBRE: existencia cero</t>
  </si>
  <si>
    <t>Es una empresa</t>
  </si>
  <si>
    <t>Correo electrónico</t>
  </si>
  <si>
    <t>Teléfono</t>
  </si>
  <si>
    <t>Calle</t>
  </si>
  <si>
    <t>Ciudad</t>
  </si>
  <si>
    <t>País</t>
  </si>
  <si>
    <t>Plazo de pago del proveedor</t>
  </si>
  <si>
    <t>Qué provee (informativo)</t>
  </si>
  <si>
    <t>Condición del caso (informativo)</t>
  </si>
  <si>
    <t>Importadora Centroamericana de Repuestos, S.A.</t>
  </si>
  <si>
    <t>ventas.icr@example.com</t>
  </si>
  <si>
    <t>+502 2360 1140</t>
  </si>
  <si>
    <t>Zona industrial, bodega 3</t>
  </si>
  <si>
    <t>Guatemala</t>
  </si>
  <si>
    <t>30 días</t>
  </si>
  <si>
    <t>Crédito 30 días</t>
  </si>
  <si>
    <t>Frenos y Transmisiones de Guatemala, S.A.</t>
  </si>
  <si>
    <t>pedidos.fytg@example.com</t>
  </si>
  <si>
    <t>+502 2434 7720</t>
  </si>
  <si>
    <t>Zona industrial, bodega 4</t>
  </si>
  <si>
    <t>Distribuidora Llantera del Sur</t>
  </si>
  <si>
    <t>ventas.dls@example.com</t>
  </si>
  <si>
    <t>+502 7880 3315</t>
  </si>
  <si>
    <t>Zona industrial, bodega 5</t>
  </si>
  <si>
    <t>50% anticipo, 50% contra entrega</t>
  </si>
  <si>
    <t>Grupo Eléctrico Moto GT</t>
  </si>
  <si>
    <t>pedidos.gemgt@example.com</t>
  </si>
  <si>
    <t>+502 2251 9086</t>
  </si>
  <si>
    <t>Zona industrial, bodega 6</t>
  </si>
  <si>
    <t>15 días</t>
  </si>
  <si>
    <t>Crédito 15 días</t>
  </si>
  <si>
    <t>Protección Vial, S.A.</t>
  </si>
  <si>
    <t>ventas.pvsa@example.com</t>
  </si>
  <si>
    <t>+502 2385 4402</t>
  </si>
  <si>
    <t>Zona industrial, bodega 7</t>
  </si>
  <si>
    <t>45 días</t>
  </si>
  <si>
    <t>Crédito 45 días</t>
  </si>
  <si>
    <t>Empresa relacionada</t>
  </si>
  <si>
    <t>Puesto de trabajo</t>
  </si>
  <si>
    <t>Rosa Elena Batres</t>
  </si>
  <si>
    <t>Ejecutiva de ventas</t>
  </si>
  <si>
    <t>Mario Roberto Ixcot</t>
  </si>
  <si>
    <t>Asesor comercial</t>
  </si>
  <si>
    <t>Claudia Patricia Monzón</t>
  </si>
  <si>
    <t>Encargada de cuentas</t>
  </si>
  <si>
    <t>Juan Carlos Pac</t>
  </si>
  <si>
    <t>Vendedor de ruta</t>
  </si>
  <si>
    <t>Silvia Marisol Recinos</t>
  </si>
  <si>
    <t>Gerente de ventas</t>
  </si>
  <si>
    <t>Proveedor</t>
  </si>
  <si>
    <t>Precio</t>
  </si>
  <si>
    <t>Plazo de entrega (días)</t>
  </si>
  <si>
    <t>Referencia (informativo)</t>
  </si>
  <si>
    <t>Etiquetas</t>
  </si>
  <si>
    <t>Kevin Alexander Pérez Tzoc</t>
  </si>
  <si>
    <t>False</t>
  </si>
  <si>
    <t>Repartidor</t>
  </si>
  <si>
    <t>kevin.perez@example.com</t>
  </si>
  <si>
    <t>+502 5237 3301</t>
  </si>
  <si>
    <t>6a. avenida 3-21, zona 1</t>
  </si>
  <si>
    <t>Brandon Josué Ramírez Coy</t>
  </si>
  <si>
    <t>brandon.ramirez@example.com</t>
  </si>
  <si>
    <t>+502 5966 1220</t>
  </si>
  <si>
    <t>Calzada San Juan 14-60, zona 7</t>
  </si>
  <si>
    <t>Luis Fernando Chávez Morales</t>
  </si>
  <si>
    <t>luis.chavez@example.com</t>
  </si>
  <si>
    <t>+502 5695 9139</t>
  </si>
  <si>
    <t>4a. calle 8-15, zona 3</t>
  </si>
  <si>
    <t>Mixco</t>
  </si>
  <si>
    <t>Marvin Estuardo Xicará López</t>
  </si>
  <si>
    <t>marvin.xicara@example.com</t>
  </si>
  <si>
    <t>+502 5424 7058</t>
  </si>
  <si>
    <t>Colonia El Milagro, manzana C lote 12</t>
  </si>
  <si>
    <t>Edwin Rolando Sian Cuxil</t>
  </si>
  <si>
    <t>edwin.sian@example.com</t>
  </si>
  <si>
    <t>+502 5153 4977</t>
  </si>
  <si>
    <t>Avenida Petapa 42-10, zona 12</t>
  </si>
  <si>
    <t>Jorge Mario Velásquez Ajú</t>
  </si>
  <si>
    <t>jorge.velasquez@example.com</t>
  </si>
  <si>
    <t>+502 5882 2896</t>
  </si>
  <si>
    <t>Colonia Venecia 1, casa 88</t>
  </si>
  <si>
    <t>Villa Nueva</t>
  </si>
  <si>
    <t>Cristian David Hernández Sapón</t>
  </si>
  <si>
    <t>cristian.hernandez@example.com</t>
  </si>
  <si>
    <t>+502 5611 0815</t>
  </si>
  <si>
    <t>Boulevard El Frutal 5-30</t>
  </si>
  <si>
    <t>Wilson Omar García Tuyuc</t>
  </si>
  <si>
    <t>wilson.garcia@example.com</t>
  </si>
  <si>
    <t>+502 5340 8734</t>
  </si>
  <si>
    <t>18 calle 10-44, zona 6</t>
  </si>
  <si>
    <t>Érick Daniel Monterroso Pineda</t>
  </si>
  <si>
    <t>erick.monterroso@example.com</t>
  </si>
  <si>
    <t>+502 5069 6653</t>
  </si>
  <si>
    <t>Calzada Roosevelt 30-12, zona 11</t>
  </si>
  <si>
    <t>Selvin Adolfo Boc Ixcoy</t>
  </si>
  <si>
    <t>selvin.boc@example.com</t>
  </si>
  <si>
    <t>+502 5798 4572</t>
  </si>
  <si>
    <t>Colonia Primero de Julio, sector B</t>
  </si>
  <si>
    <t>Byron Alexis Muñoz Choc</t>
  </si>
  <si>
    <t>byron.munoz@example.com</t>
  </si>
  <si>
    <t>+502 5527 2491</t>
  </si>
  <si>
    <t>Colonia Mario Alioto, casa 17</t>
  </si>
  <si>
    <t>Denis Rodrigo Aldana Sical</t>
  </si>
  <si>
    <t>denis.aldana@example.com</t>
  </si>
  <si>
    <t>+502 5256 0410</t>
  </si>
  <si>
    <t>Avenida Bolívar 32-05, zona 3</t>
  </si>
  <si>
    <t>Andrea Sofía Cifuentes Rivas</t>
  </si>
  <si>
    <t>Motociclista particular</t>
  </si>
  <si>
    <t>andrea.cifuentes@example.com</t>
  </si>
  <si>
    <t>+502 5985 8329</t>
  </si>
  <si>
    <t>Residenciales San Cristóbal, sector A2</t>
  </si>
  <si>
    <t>María José Barrios Estrada</t>
  </si>
  <si>
    <t>maria.barrios@example.com</t>
  </si>
  <si>
    <t>+502 5714 6248</t>
  </si>
  <si>
    <t>12 avenida 15-20, zona 10</t>
  </si>
  <si>
    <t>Diego Andrés Solórzano Paz</t>
  </si>
  <si>
    <t>diego.solorzano@example.com</t>
  </si>
  <si>
    <t>+502 5443 4167</t>
  </si>
  <si>
    <t>Condado Naranjo, torre 2</t>
  </si>
  <si>
    <t>Carlos Enrique Guzmán Ortiz</t>
  </si>
  <si>
    <t>carlos.guzman@example.com</t>
  </si>
  <si>
    <t>+502 5172 2086</t>
  </si>
  <si>
    <t>3a. avenida 9-40, zona 2</t>
  </si>
  <si>
    <t>Ana Lucía Méndez Ochoa</t>
  </si>
  <si>
    <t>ana.mendez@example.com</t>
  </si>
  <si>
    <t>+502 5901 0005</t>
  </si>
  <si>
    <t>Colonia Monte María, casa 5</t>
  </si>
  <si>
    <t>José Pablo Reyes Castañeda</t>
  </si>
  <si>
    <t>jose.reyes@example.com</t>
  </si>
  <si>
    <t>+502 5630 7924</t>
  </si>
  <si>
    <t>Avenida Las Américas 7-70, zona 13</t>
  </si>
  <si>
    <t>Karla Beatriz Fuentes Lemus</t>
  </si>
  <si>
    <t>karla.fuentes@example.com</t>
  </si>
  <si>
    <t>+502 5359 5843</t>
  </si>
  <si>
    <t>Lomas de Portugal, casa 31</t>
  </si>
  <si>
    <t>Oscar Leonel Arriaga Batz</t>
  </si>
  <si>
    <t>oscar.arriaga@example.com</t>
  </si>
  <si>
    <t>+502 5088 3762</t>
  </si>
  <si>
    <t>Colonia Enriqueta, casa 102</t>
  </si>
  <si>
    <t>Gabriela Alejandra Toledo Mejía</t>
  </si>
  <si>
    <t>gabriela.toledo@example.com</t>
  </si>
  <si>
    <t>+502 5817 1681</t>
  </si>
  <si>
    <t>Vista Hermosa II, 20 calle 18-11, zona 15</t>
  </si>
  <si>
    <t>Rodrigo Esteban Samayoa Juárez</t>
  </si>
  <si>
    <t>rodrigo.samayoa@example.com</t>
  </si>
  <si>
    <t>+502 5546 9600</t>
  </si>
  <si>
    <t>Colonia El Naranjo, 2a. calle 4-18</t>
  </si>
  <si>
    <t>Paola Mishell Castillo Yax</t>
  </si>
  <si>
    <t>paola.castillo@example.com</t>
  </si>
  <si>
    <t>+502 5275 7519</t>
  </si>
  <si>
    <t>Ciudad Real 1, zona 12</t>
  </si>
  <si>
    <t>Taller Moto Express Zona 7</t>
  </si>
  <si>
    <t>Taller mecánico</t>
  </si>
  <si>
    <t>contacto.moto.express.zona.7@example.com</t>
  </si>
  <si>
    <t>+502 2004 5438</t>
  </si>
  <si>
    <t>Calzada San Juan 22-45, zona 7</t>
  </si>
  <si>
    <t>Servicio Técnico El Pistón</t>
  </si>
  <si>
    <t>contacto.tecnico.piston@example.com</t>
  </si>
  <si>
    <t>+502 2733 3357</t>
  </si>
  <si>
    <t>Avenida Petapa 50-20, zona 12</t>
  </si>
  <si>
    <t>MotoClínica Villa Nueva</t>
  </si>
  <si>
    <t>contacto.motoclinica.villa.nueva@example.com</t>
  </si>
  <si>
    <t>+502 2462 1276</t>
  </si>
  <si>
    <t>Kilómetro 17.5 carretera al Pacífico</t>
  </si>
  <si>
    <t>Taller Hermanos Cutzal</t>
  </si>
  <si>
    <t>contacto.hermanos.cutzal@example.com</t>
  </si>
  <si>
    <t>+502 2191 9195</t>
  </si>
  <si>
    <t>Colonia La Florida, 17 avenida 6-30, zona 19</t>
  </si>
  <si>
    <t>Moto Servicio La Florida</t>
  </si>
  <si>
    <t>contacto.moto.florida@example.com</t>
  </si>
  <si>
    <t>+502 2920 7114</t>
  </si>
  <si>
    <t>Calzada Roosevelt 34-50, zona 11</t>
  </si>
  <si>
    <t>Taller Dos Ruedas Mixco</t>
  </si>
  <si>
    <t>contacto.dos.ruedas.mixco@example.com</t>
  </si>
  <si>
    <t>+502 2649 5033</t>
  </si>
  <si>
    <t>Calzada San Cristóbal 8-12</t>
  </si>
  <si>
    <t>Centro de Servicio Motoaventura</t>
  </si>
  <si>
    <t>contacto.motoaventura@example.com</t>
  </si>
  <si>
    <t>+502 2378 2952</t>
  </si>
  <si>
    <t>Boulevard Villa Nueva 3-45</t>
  </si>
  <si>
    <t>Alejandro Javier Lainfiesta Ruiz</t>
  </si>
  <si>
    <t>Entusiasta</t>
  </si>
  <si>
    <t>alejandro.lainfiesta@example.com</t>
  </si>
  <si>
    <t>+502 5107 0871</t>
  </si>
  <si>
    <t>Carretera a El Salvador km 14, condominio Los Álamos</t>
  </si>
  <si>
    <t>Mónica Isabel Arévalo Soto</t>
  </si>
  <si>
    <t>monica.arevalo@example.com</t>
  </si>
  <si>
    <t>+502 5836 8790</t>
  </si>
  <si>
    <t>Avenida Reforma 9-55, zona 9</t>
  </si>
  <si>
    <t>Esteban Mauricio Quiñónez Díaz</t>
  </si>
  <si>
    <t>esteban.quinonez@example.com</t>
  </si>
  <si>
    <t>+502 5565 6709</t>
  </si>
  <si>
    <t>San Cristóbal, sector B3, casa 14</t>
  </si>
  <si>
    <t>Daniela Fernanda Porras Lima</t>
  </si>
  <si>
    <t>daniela.porras@example.com</t>
  </si>
  <si>
    <t>+502 5294 4628</t>
  </si>
  <si>
    <t>Cayalá, edificio Bóveda, apto 402, zona 16</t>
  </si>
  <si>
    <t>Hugo Armando Villatoro Cruz</t>
  </si>
  <si>
    <t>hugo.villatoro@example.com</t>
  </si>
  <si>
    <t>+502 5023 2547</t>
  </si>
  <si>
    <t>Colonia Guajitos, zona 21</t>
  </si>
  <si>
    <t>Carga manual (rol 2) · NO se importa: se escribe en los formularios de Odoo</t>
  </si>
  <si>
    <t>El enunciado pide «Realizar también la carga manual». Esto es exactamente lo que se crea a mano, para que cuadre con el resto.</t>
  </si>
  <si>
    <t>A. Proveedor (Contactos › Nuevo, casilla Empresa)</t>
  </si>
  <si>
    <t>Correo</t>
  </si>
  <si>
    <t>Plazo de pago</t>
  </si>
  <si>
    <t>Contacto</t>
  </si>
  <si>
    <t>Puesto</t>
  </si>
  <si>
    <t>Entrega (días)</t>
  </si>
  <si>
    <t>AccesoRuta Importaciones</t>
  </si>
  <si>
    <t>contacto.accesoruta@example.com</t>
  </si>
  <si>
    <t>+502 2476 5531</t>
  </si>
  <si>
    <t>Pago inmediato</t>
  </si>
  <si>
    <t>Héctor Aníbal Galindo</t>
  </si>
  <si>
    <t>Propietario</t>
  </si>
  <si>
    <t>B. Categoría y productos (Inventario › Productos › Nuevo)</t>
  </si>
  <si>
    <t>Categoría</t>
  </si>
  <si>
    <t>Stock inicial</t>
  </si>
  <si>
    <t>Mínimo</t>
  </si>
  <si>
    <t>Máximo</t>
  </si>
  <si>
    <t>ACC-001</t>
  </si>
  <si>
    <t>Baúl trasero 30 L</t>
  </si>
  <si>
    <t>Accesorios y equipaje</t>
  </si>
  <si>
    <t>ACC-002</t>
  </si>
  <si>
    <t>Parrilla trasera universal</t>
  </si>
  <si>
    <t>ACC-003</t>
  </si>
  <si>
    <t>Soporte de celular para manubrio</t>
  </si>
  <si>
    <t>ACC-004</t>
  </si>
  <si>
    <t>Cargador USB para moto</t>
  </si>
  <si>
    <t>ACC-005</t>
  </si>
  <si>
    <t>Funda impermeable para moto</t>
  </si>
  <si>
    <t>ACC-006</t>
  </si>
  <si>
    <t>Candado de disco con alarma</t>
  </si>
  <si>
    <t>C. Clientes (Contactos › Nuevo)</t>
  </si>
  <si>
    <t>¿Empresa?</t>
  </si>
  <si>
    <t>Etiqueta (segmento)</t>
  </si>
  <si>
    <t>Josué Emanuel Tum Chiroy</t>
  </si>
  <si>
    <t>No</t>
  </si>
  <si>
    <t>josue.tum@example.com</t>
  </si>
  <si>
    <t>+502 5752 0466</t>
  </si>
  <si>
    <t>Colonia Justo Rufino Barrios, zona 21</t>
  </si>
  <si>
    <t>Lucía Fernanda Marroquín Aguilar</t>
  </si>
  <si>
    <t>lucia.marroquin@example.com</t>
  </si>
  <si>
    <t>+502 5481 8385</t>
  </si>
  <si>
    <t>Colonia Las Charcas, zona 11</t>
  </si>
  <si>
    <t>Taller Motorepuestos San Cristóbal</t>
  </si>
  <si>
    <t>Sí</t>
  </si>
  <si>
    <t>contacto.motorepuestos.san.cristobal@example.com</t>
  </si>
  <si>
    <t>+502 2210 6304</t>
  </si>
  <si>
    <t>Boulevard San Cristóbal 11-20</t>
  </si>
  <si>
    <t>MotoFix Zona 18</t>
  </si>
  <si>
    <t>contacto.motofix.zona.18@example.com</t>
  </si>
  <si>
    <t>+502 2939 4223</t>
  </si>
  <si>
    <t>Colonia El Limón, 3a. calle 2-15, zona 18</t>
  </si>
  <si>
    <t>Andrés Sebastián Kohon Ávila</t>
  </si>
  <si>
    <t>andres.kohon@example.com</t>
  </si>
  <si>
    <t>+502 5668 2142</t>
  </si>
  <si>
    <t>Colonia Bello Horizonte, zona 21</t>
  </si>
  <si>
    <t>Valor del inventario manual al costo:</t>
  </si>
  <si>
    <t>Hoja</t>
  </si>
  <si>
    <t>Columna del Excel</t>
  </si>
  <si>
    <t>Campo de Odoo (nombre técnico)</t>
  </si>
  <si>
    <t>Nota</t>
  </si>
  <si>
    <t>1_Productos</t>
  </si>
  <si>
    <t>default_code</t>
  </si>
  <si>
    <t>Es el código del catálogo (LUB-001…). Odoo lo usa para encontrar el producto en las hojas siguientes.</t>
  </si>
  <si>
    <t>categ_id</t>
  </si>
  <si>
    <t>Tiene que existir ANTES y sin categoría padre, con el nombre idéntico. Si la creaste bajo «All», el nombre completo pasa a ser «All / Lubricantes y filtros» y no coincide.</t>
  </si>
  <si>
    <t>Precio de venta / Costo</t>
  </si>
  <si>
    <t>list_price / standard_price</t>
  </si>
  <si>
    <t>En quetzales, sin símbolo.</t>
  </si>
  <si>
    <t>is_storable</t>
  </si>
  <si>
    <t>En Odoo 18 el producto almacenable es «Bienes» con esta casilla marcada. Sin ella no lleva existencias ni alertas.</t>
  </si>
  <si>
    <t>Puede ser vendido / comprado</t>
  </si>
  <si>
    <t>sale_ok / purchase_ok</t>
  </si>
  <si>
    <t>image_1920</t>
  </si>
  <si>
    <t>URL pública. Ver hoja LEEME.</t>
  </si>
  <si>
    <t>2_Existencias_iniciales</t>
  </si>
  <si>
    <t>Producto / Ubicación / Cantidad contada</t>
  </si>
  <si>
    <t>product_id / location_id / inventory_quantity</t>
  </si>
  <si>
    <t>Se importa desde Inventario › Operaciones › Inventario físico. Después de importar hay que pulsar «Aplicar»: si no, las cantidades quedan contadas pero no aplicadas. Verificá el nombre de la ubicación en Inventario › Configuración › Ubicaciones y, si no es «WH/Existencias», reemplazalo en toda la columna.</t>
  </si>
  <si>
    <t>3_Reglas_reabastecimiento</t>
  </si>
  <si>
    <t>Cantidad mínima / máxima</t>
  </si>
  <si>
    <t>product_min_qty / product_max_qty</t>
  </si>
  <si>
    <t>Modelo stock.warehouse.orderpoint. Se importa desde Inventario › Operaciones › Reabastecimiento. Son las que generan las alertas de stock bajo de la 12.4.</t>
  </si>
  <si>
    <t>4_Proveedores</t>
  </si>
  <si>
    <t>property_supplier_payment_term_id</t>
  </si>
  <si>
    <t>Tiene que existir con ese nombre exacto en Contabilidad/Facturación › Configuración › Términos de pago. Revisá cómo se llaman en tu idioma antes de importar.</t>
  </si>
  <si>
    <t>5_Contactos_proveedores</t>
  </si>
  <si>
    <t>parent_id</t>
  </si>
  <si>
    <t>Nombre exacto del proveedor de la hoja 4.</t>
  </si>
  <si>
    <t>6_Productos_por_proveedor</t>
  </si>
  <si>
    <t>Proveedor / Producto / Precio / Cantidad mínima / Plazo de entrega</t>
  </si>
  <si>
    <t>partner_id / product_tmpl_id / price / min_qty / delay</t>
  </si>
  <si>
    <t>Modelo product.supplierinfo. Es lo que hace que la orden de compra proponga el proveedor y el costo solos.</t>
  </si>
  <si>
    <t>7_Clientes</t>
  </si>
  <si>
    <t>category_id</t>
  </si>
  <si>
    <t>Las 4 etiquetas son los segmentos del CRM. Tienen que existir antes.</t>
  </si>
  <si>
    <t>is_company</t>
  </si>
  <si>
    <t>True para los talleres (B2B).</t>
  </si>
  <si>
    <t>Cuadre de la carga · lo que Odoo tiene que mostrar al terminar</t>
  </si>
  <si>
    <t>Concepto</t>
  </si>
  <si>
    <t>Carga masiva</t>
  </si>
  <si>
    <t>Productos del catálogo base</t>
  </si>
  <si>
    <t>Proveedores</t>
  </si>
  <si>
    <t>Clientes</t>
  </si>
  <si>
    <t xml:space="preserve">  de ellos, segmento Repartidor</t>
  </si>
  <si>
    <t xml:space="preserve">  de ellos, segmento Motociclista particular</t>
  </si>
  <si>
    <t xml:space="preserve">  de ellos, segmento Taller mecánico</t>
  </si>
  <si>
    <t xml:space="preserve">  de ellos, segmento Entusiasta</t>
  </si>
  <si>
    <t>Inventario inicial valorizado al costo (Q)</t>
  </si>
  <si>
    <t>Presupuesto pre-operativo Fase 1, rubro «Inventario inicial (36 SKU)»: Q 45,000.00</t>
  </si>
  <si>
    <t>Estado deliberado del inventario al terminar la carga (para que la 12.2 y la 12.4 tengan qué mostrar):</t>
  </si>
  <si>
    <t>LUB-004 Filtro de aceite estándar</t>
  </si>
  <si>
    <t>stock 8</t>
  </si>
  <si>
    <t>mínimo 20</t>
  </si>
  <si>
    <t>BAJO</t>
  </si>
  <si>
    <t>FRE-001 Pastillas de freno delanteras</t>
  </si>
  <si>
    <t>stock 6</t>
  </si>
  <si>
    <t>mínimo 15</t>
  </si>
  <si>
    <t>LLA-002 Llanta trasera 110/90-17</t>
  </si>
  <si>
    <t>stock 0</t>
  </si>
  <si>
    <t>mínimo 4</t>
  </si>
  <si>
    <t>QUIEBRE</t>
  </si>
  <si>
    <t>ELE-002 Bujía estándar</t>
  </si>
  <si>
    <t>stock 12</t>
  </si>
  <si>
    <t>mínimo 30</t>
  </si>
  <si>
    <t>Quiebre de stock (KPI 5) al terminar la carga: 1 SKU en cero de 36 = 2.8 %  (meta ≤ 5 %)</t>
  </si>
</sst>
</file>

<file path=xl/styles.xml><?xml version="1.0" encoding="utf-8"?>
<styleSheet xmlns="http://schemas.openxmlformats.org/spreadsheetml/2006/main">
  <numFmts count="1">
    <numFmt numFmtId="164" formatCode="#,##0.00"/>
  </numFmts>
  <fonts count="8">
    <font>
      <sz val="11"/>
      <color theme="1"/>
      <name val="Calibri"/>
      <family val="2"/>
      <scheme val="minor"/>
    </font>
    <font>
      <b/>
      <sz val="14"/>
      <color rgb="FF1F3A5F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rgb="FFFFFFFF"/>
      <name val="Segoe UI"/>
      <family val="2"/>
    </font>
    <font>
      <b/>
      <i/>
      <sz val="10"/>
      <color rgb="FF595959"/>
      <name val="Segoe UI"/>
      <family val="2"/>
    </font>
    <font>
      <i/>
      <sz val="10"/>
      <color rgb="FF595959"/>
      <name val="Segoe UI"/>
      <family val="2"/>
    </font>
    <font>
      <b/>
      <sz val="11"/>
      <color rgb="FF1F3A5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4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/>
    <xf numFmtId="0" fontId="6" fillId="4" borderId="1" xfId="0" applyFont="1" applyFill="1" applyBorder="1"/>
    <xf numFmtId="0" fontId="2" fillId="0" borderId="1" xfId="0" applyFont="1" applyBorder="1" applyAlignment="1">
      <alignment vertical="top"/>
    </xf>
    <xf numFmtId="164" fontId="6" fillId="4" borderId="1" xfId="0" applyNumberFormat="1" applyFont="1" applyFill="1" applyBorder="1"/>
    <xf numFmtId="164" fontId="3" fillId="5" borderId="1" xfId="0" applyNumberFormat="1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antiago78op/SOG-G14-Proyecto/main/Entrega_Fase2_Grupo14/3_Archivos_Datos/imagenes_productos/LUB-001.png" TargetMode="External"/><Relationship Id="rId2" Type="http://schemas.openxmlformats.org/officeDocument/2006/relationships/hyperlink" Target="https://raw.githubusercontent.com/Santiago78op/SOG-G14-Proyecto/main/Entrega_Fase2_Grupo14/3_Archivos_Datos/imagenes_productos/LUB-002.png" TargetMode="External"/><Relationship Id="rId3" Type="http://schemas.openxmlformats.org/officeDocument/2006/relationships/hyperlink" Target="https://raw.githubusercontent.com/Santiago78op/SOG-G14-Proyecto/main/Entrega_Fase2_Grupo14/3_Archivos_Datos/imagenes_productos/LUB-003.png" TargetMode="External"/><Relationship Id="rId4" Type="http://schemas.openxmlformats.org/officeDocument/2006/relationships/hyperlink" Target="https://raw.githubusercontent.com/Santiago78op/SOG-G14-Proyecto/main/Entrega_Fase2_Grupo14/3_Archivos_Datos/imagenes_productos/LUB-004.png" TargetMode="External"/><Relationship Id="rId5" Type="http://schemas.openxmlformats.org/officeDocument/2006/relationships/hyperlink" Target="https://raw.githubusercontent.com/Santiago78op/SOG-G14-Proyecto/main/Entrega_Fase2_Grupo14/3_Archivos_Datos/imagenes_productos/LUB-005.png" TargetMode="External"/><Relationship Id="rId6" Type="http://schemas.openxmlformats.org/officeDocument/2006/relationships/hyperlink" Target="https://raw.githubusercontent.com/Santiago78op/SOG-G14-Proyecto/main/Entrega_Fase2_Grupo14/3_Archivos_Datos/imagenes_productos/LUB-006.png" TargetMode="External"/><Relationship Id="rId7" Type="http://schemas.openxmlformats.org/officeDocument/2006/relationships/hyperlink" Target="https://raw.githubusercontent.com/Santiago78op/SOG-G14-Proyecto/main/Entrega_Fase2_Grupo14/3_Archivos_Datos/imagenes_productos/FRE-001.png" TargetMode="External"/><Relationship Id="rId8" Type="http://schemas.openxmlformats.org/officeDocument/2006/relationships/hyperlink" Target="https://raw.githubusercontent.com/Santiago78op/SOG-G14-Proyecto/main/Entrega_Fase2_Grupo14/3_Archivos_Datos/imagenes_productos/FRE-002.png" TargetMode="External"/><Relationship Id="rId9" Type="http://schemas.openxmlformats.org/officeDocument/2006/relationships/hyperlink" Target="https://raw.githubusercontent.com/Santiago78op/SOG-G14-Proyecto/main/Entrega_Fase2_Grupo14/3_Archivos_Datos/imagenes_productos/FRE-003.png" TargetMode="External"/><Relationship Id="rId10" Type="http://schemas.openxmlformats.org/officeDocument/2006/relationships/hyperlink" Target="https://raw.githubusercontent.com/Santiago78op/SOG-G14-Proyecto/main/Entrega_Fase2_Grupo14/3_Archivos_Datos/imagenes_productos/FRE-004.png" TargetMode="External"/><Relationship Id="rId11" Type="http://schemas.openxmlformats.org/officeDocument/2006/relationships/hyperlink" Target="https://raw.githubusercontent.com/Santiago78op/SOG-G14-Proyecto/main/Entrega_Fase2_Grupo14/3_Archivos_Datos/imagenes_productos/FRE-005.png" TargetMode="External"/><Relationship Id="rId12" Type="http://schemas.openxmlformats.org/officeDocument/2006/relationships/hyperlink" Target="https://raw.githubusercontent.com/Santiago78op/SOG-G14-Proyecto/main/Entrega_Fase2_Grupo14/3_Archivos_Datos/imagenes_productos/FRE-006.png" TargetMode="External"/><Relationship Id="rId13" Type="http://schemas.openxmlformats.org/officeDocument/2006/relationships/hyperlink" Target="https://raw.githubusercontent.com/Santiago78op/SOG-G14-Proyecto/main/Entrega_Fase2_Grupo14/3_Archivos_Datos/imagenes_productos/LLA-001.png" TargetMode="External"/><Relationship Id="rId14" Type="http://schemas.openxmlformats.org/officeDocument/2006/relationships/hyperlink" Target="https://raw.githubusercontent.com/Santiago78op/SOG-G14-Proyecto/main/Entrega_Fase2_Grupo14/3_Archivos_Datos/imagenes_productos/LLA-002.png" TargetMode="External"/><Relationship Id="rId15" Type="http://schemas.openxmlformats.org/officeDocument/2006/relationships/hyperlink" Target="https://raw.githubusercontent.com/Santiago78op/SOG-G14-Proyecto/main/Entrega_Fase2_Grupo14/3_Archivos_Datos/imagenes_productos/LLA-003.png" TargetMode="External"/><Relationship Id="rId16" Type="http://schemas.openxmlformats.org/officeDocument/2006/relationships/hyperlink" Target="https://raw.githubusercontent.com/Santiago78op/SOG-G14-Proyecto/main/Entrega_Fase2_Grupo14/3_Archivos_Datos/imagenes_productos/LLA-004.png" TargetMode="External"/><Relationship Id="rId17" Type="http://schemas.openxmlformats.org/officeDocument/2006/relationships/hyperlink" Target="https://raw.githubusercontent.com/Santiago78op/SOG-G14-Proyecto/main/Entrega_Fase2_Grupo14/3_Archivos_Datos/imagenes_productos/LLA-005.png" TargetMode="External"/><Relationship Id="rId18" Type="http://schemas.openxmlformats.org/officeDocument/2006/relationships/hyperlink" Target="https://raw.githubusercontent.com/Santiago78op/SOG-G14-Proyecto/main/Entrega_Fase2_Grupo14/3_Archivos_Datos/imagenes_productos/LLA-006.png" TargetMode="External"/><Relationship Id="rId19" Type="http://schemas.openxmlformats.org/officeDocument/2006/relationships/hyperlink" Target="https://raw.githubusercontent.com/Santiago78op/SOG-G14-Proyecto/main/Entrega_Fase2_Grupo14/3_Archivos_Datos/imagenes_productos/ELE-001.png" TargetMode="External"/><Relationship Id="rId20" Type="http://schemas.openxmlformats.org/officeDocument/2006/relationships/hyperlink" Target="https://raw.githubusercontent.com/Santiago78op/SOG-G14-Proyecto/main/Entrega_Fase2_Grupo14/3_Archivos_Datos/imagenes_productos/ELE-002.png" TargetMode="External"/><Relationship Id="rId21" Type="http://schemas.openxmlformats.org/officeDocument/2006/relationships/hyperlink" Target="https://raw.githubusercontent.com/Santiago78op/SOG-G14-Proyecto/main/Entrega_Fase2_Grupo14/3_Archivos_Datos/imagenes_productos/ELE-003.png" TargetMode="External"/><Relationship Id="rId22" Type="http://schemas.openxmlformats.org/officeDocument/2006/relationships/hyperlink" Target="https://raw.githubusercontent.com/Santiago78op/SOG-G14-Proyecto/main/Entrega_Fase2_Grupo14/3_Archivos_Datos/imagenes_productos/ELE-004.png" TargetMode="External"/><Relationship Id="rId23" Type="http://schemas.openxmlformats.org/officeDocument/2006/relationships/hyperlink" Target="https://raw.githubusercontent.com/Santiago78op/SOG-G14-Proyecto/main/Entrega_Fase2_Grupo14/3_Archivos_Datos/imagenes_productos/ELE-005.png" TargetMode="External"/><Relationship Id="rId24" Type="http://schemas.openxmlformats.org/officeDocument/2006/relationships/hyperlink" Target="https://raw.githubusercontent.com/Santiago78op/SOG-G14-Proyecto/main/Entrega_Fase2_Grupo14/3_Archivos_Datos/imagenes_productos/ELE-006.png" TargetMode="External"/><Relationship Id="rId25" Type="http://schemas.openxmlformats.org/officeDocument/2006/relationships/hyperlink" Target="https://raw.githubusercontent.com/Santiago78op/SOG-G14-Proyecto/main/Entrega_Fase2_Grupo14/3_Archivos_Datos/imagenes_productos/CAS-001.png" TargetMode="External"/><Relationship Id="rId26" Type="http://schemas.openxmlformats.org/officeDocument/2006/relationships/hyperlink" Target="https://raw.githubusercontent.com/Santiago78op/SOG-G14-Proyecto/main/Entrega_Fase2_Grupo14/3_Archivos_Datos/imagenes_productos/CAS-002.png" TargetMode="External"/><Relationship Id="rId27" Type="http://schemas.openxmlformats.org/officeDocument/2006/relationships/hyperlink" Target="https://raw.githubusercontent.com/Santiago78op/SOG-G14-Proyecto/main/Entrega_Fase2_Grupo14/3_Archivos_Datos/imagenes_productos/CAS-003.png" TargetMode="External"/><Relationship Id="rId28" Type="http://schemas.openxmlformats.org/officeDocument/2006/relationships/hyperlink" Target="https://raw.githubusercontent.com/Santiago78op/SOG-G14-Proyecto/main/Entrega_Fase2_Grupo14/3_Archivos_Datos/imagenes_productos/CAS-004.png" TargetMode="External"/><Relationship Id="rId29" Type="http://schemas.openxmlformats.org/officeDocument/2006/relationships/hyperlink" Target="https://raw.githubusercontent.com/Santiago78op/SOG-G14-Proyecto/main/Entrega_Fase2_Grupo14/3_Archivos_Datos/imagenes_productos/CAS-005.png" TargetMode="External"/><Relationship Id="rId30" Type="http://schemas.openxmlformats.org/officeDocument/2006/relationships/hyperlink" Target="https://raw.githubusercontent.com/Santiago78op/SOG-G14-Proyecto/main/Entrega_Fase2_Grupo14/3_Archivos_Datos/imagenes_productos/CAS-00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5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3" width="95.7109375" customWidth="1"/>
  </cols>
  <sheetData>
    <row r="1" spans="2:3">
      <c r="B1" s="1" t="s">
        <v>0</v>
      </c>
    </row>
    <row r="2" spans="2:3">
      <c r="B2" s="2" t="s">
        <v>1</v>
      </c>
    </row>
    <row r="4" spans="2:3" ht="30" customHeight="1">
      <c r="B4" s="3" t="s">
        <v>2</v>
      </c>
      <c r="C4" s="2" t="s">
        <v>3</v>
      </c>
    </row>
    <row r="5" spans="2:3" ht="30" customHeight="1">
      <c r="B5" s="3" t="s">
        <v>4</v>
      </c>
      <c r="C5" s="2" t="s">
        <v>5</v>
      </c>
    </row>
    <row r="6" spans="2:3" ht="30" customHeight="1">
      <c r="B6" s="3" t="s">
        <v>6</v>
      </c>
      <c r="C6" s="2" t="s">
        <v>7</v>
      </c>
    </row>
    <row r="7" spans="2:3" ht="16" customHeight="1">
      <c r="B7" s="3" t="s">
        <v>8</v>
      </c>
      <c r="C7" s="2" t="s">
        <v>9</v>
      </c>
    </row>
    <row r="8" spans="2:3" ht="30" customHeight="1">
      <c r="B8" s="3"/>
      <c r="C8" s="2" t="s">
        <v>10</v>
      </c>
    </row>
    <row r="9" spans="2:3" ht="30" customHeight="1">
      <c r="B9" s="3"/>
      <c r="C9" s="2" t="s">
        <v>11</v>
      </c>
    </row>
    <row r="10" spans="2:3" ht="30" customHeight="1">
      <c r="B10" s="3" t="s">
        <v>12</v>
      </c>
      <c r="C10" s="2" t="s">
        <v>13</v>
      </c>
    </row>
    <row r="11" spans="2:3" ht="30" customHeight="1">
      <c r="B11" s="3" t="s">
        <v>14</v>
      </c>
      <c r="C11" s="2" t="s">
        <v>15</v>
      </c>
    </row>
    <row r="12" spans="2:3" ht="30" customHeight="1">
      <c r="B12" s="3" t="s">
        <v>16</v>
      </c>
      <c r="C12" s="2" t="s">
        <v>17</v>
      </c>
    </row>
    <row r="13" spans="2:3" ht="30" customHeight="1">
      <c r="B13" s="3" t="s">
        <v>18</v>
      </c>
      <c r="C13" s="2" t="s">
        <v>19</v>
      </c>
    </row>
    <row r="14" spans="2:3" ht="30" customHeight="1">
      <c r="B14" s="3" t="s">
        <v>20</v>
      </c>
      <c r="C14" s="2" t="s">
        <v>21</v>
      </c>
    </row>
    <row r="15" spans="2:3" ht="30" customHeight="1">
      <c r="B15" s="3" t="s">
        <v>22</v>
      </c>
      <c r="C15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4.7109375" customWidth="1"/>
    <col min="3" max="3" width="28.7109375" customWidth="1"/>
    <col min="4" max="4" width="12.7109375" customWidth="1"/>
    <col min="5" max="5" width="10.7109375" customWidth="1"/>
    <col min="6" max="6" width="12.7109375" customWidth="1"/>
    <col min="7" max="8" width="11.7109375" customWidth="1"/>
    <col min="9" max="9" width="70.7109375" customWidth="1"/>
    <col min="10" max="10" width="14.7109375" customWidth="1"/>
  </cols>
  <sheetData>
    <row r="1" spans="1:10" ht="32" customHeight="1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5" t="s">
        <v>33</v>
      </c>
    </row>
    <row r="2" spans="1:10">
      <c r="A2" s="6" t="s">
        <v>34</v>
      </c>
      <c r="B2" s="6" t="s">
        <v>35</v>
      </c>
      <c r="C2" s="6" t="s">
        <v>36</v>
      </c>
      <c r="D2" s="7">
        <v>45</v>
      </c>
      <c r="E2" s="7">
        <v>28</v>
      </c>
      <c r="F2" s="6" t="s">
        <v>37</v>
      </c>
      <c r="G2" s="6" t="s">
        <v>37</v>
      </c>
      <c r="H2" s="6" t="s">
        <v>37</v>
      </c>
      <c r="I2" s="6" t="s">
        <v>38</v>
      </c>
      <c r="J2" s="8">
        <v>60</v>
      </c>
    </row>
    <row r="3" spans="1:10">
      <c r="A3" s="6" t="s">
        <v>39</v>
      </c>
      <c r="B3" s="6" t="s">
        <v>40</v>
      </c>
      <c r="C3" s="6" t="s">
        <v>36</v>
      </c>
      <c r="D3" s="7">
        <v>75</v>
      </c>
      <c r="E3" s="7">
        <v>48</v>
      </c>
      <c r="F3" s="6" t="s">
        <v>37</v>
      </c>
      <c r="G3" s="6" t="s">
        <v>37</v>
      </c>
      <c r="H3" s="6" t="s">
        <v>37</v>
      </c>
      <c r="I3" s="6" t="s">
        <v>41</v>
      </c>
      <c r="J3" s="8">
        <v>40</v>
      </c>
    </row>
    <row r="4" spans="1:10">
      <c r="A4" s="6" t="s">
        <v>42</v>
      </c>
      <c r="B4" s="6" t="s">
        <v>43</v>
      </c>
      <c r="C4" s="6" t="s">
        <v>36</v>
      </c>
      <c r="D4" s="7">
        <v>110</v>
      </c>
      <c r="E4" s="7">
        <v>72</v>
      </c>
      <c r="F4" s="6" t="s">
        <v>37</v>
      </c>
      <c r="G4" s="6" t="s">
        <v>37</v>
      </c>
      <c r="H4" s="6" t="s">
        <v>37</v>
      </c>
      <c r="I4" s="6" t="s">
        <v>44</v>
      </c>
      <c r="J4" s="8">
        <v>24</v>
      </c>
    </row>
    <row r="5" spans="1:10">
      <c r="A5" s="6" t="s">
        <v>45</v>
      </c>
      <c r="B5" s="6" t="s">
        <v>46</v>
      </c>
      <c r="C5" s="6" t="s">
        <v>36</v>
      </c>
      <c r="D5" s="7">
        <v>35</v>
      </c>
      <c r="E5" s="7">
        <v>19</v>
      </c>
      <c r="F5" s="6" t="s">
        <v>37</v>
      </c>
      <c r="G5" s="6" t="s">
        <v>37</v>
      </c>
      <c r="H5" s="6" t="s">
        <v>37</v>
      </c>
      <c r="I5" s="6" t="s">
        <v>47</v>
      </c>
      <c r="J5" s="8">
        <v>8</v>
      </c>
    </row>
    <row r="6" spans="1:10">
      <c r="A6" s="6" t="s">
        <v>48</v>
      </c>
      <c r="B6" s="6" t="s">
        <v>49</v>
      </c>
      <c r="C6" s="6" t="s">
        <v>36</v>
      </c>
      <c r="D6" s="7">
        <v>60</v>
      </c>
      <c r="E6" s="7">
        <v>34</v>
      </c>
      <c r="F6" s="6" t="s">
        <v>37</v>
      </c>
      <c r="G6" s="6" t="s">
        <v>37</v>
      </c>
      <c r="H6" s="6" t="s">
        <v>37</v>
      </c>
      <c r="I6" s="6" t="s">
        <v>50</v>
      </c>
      <c r="J6" s="8">
        <v>20</v>
      </c>
    </row>
    <row r="7" spans="1:10">
      <c r="A7" s="6" t="s">
        <v>51</v>
      </c>
      <c r="B7" s="6" t="s">
        <v>52</v>
      </c>
      <c r="C7" s="6" t="s">
        <v>36</v>
      </c>
      <c r="D7" s="7">
        <v>145</v>
      </c>
      <c r="E7" s="7">
        <v>92</v>
      </c>
      <c r="F7" s="6" t="s">
        <v>37</v>
      </c>
      <c r="G7" s="6" t="s">
        <v>37</v>
      </c>
      <c r="H7" s="6" t="s">
        <v>37</v>
      </c>
      <c r="I7" s="6" t="s">
        <v>53</v>
      </c>
      <c r="J7" s="8">
        <v>25</v>
      </c>
    </row>
    <row r="8" spans="1:10">
      <c r="A8" s="6" t="s">
        <v>54</v>
      </c>
      <c r="B8" s="6" t="s">
        <v>55</v>
      </c>
      <c r="C8" s="6" t="s">
        <v>56</v>
      </c>
      <c r="D8" s="7">
        <v>95</v>
      </c>
      <c r="E8" s="7">
        <v>55</v>
      </c>
      <c r="F8" s="6" t="s">
        <v>37</v>
      </c>
      <c r="G8" s="6" t="s">
        <v>37</v>
      </c>
      <c r="H8" s="6" t="s">
        <v>37</v>
      </c>
      <c r="I8" s="6" t="s">
        <v>57</v>
      </c>
      <c r="J8" s="8">
        <v>6</v>
      </c>
    </row>
    <row r="9" spans="1:10">
      <c r="A9" s="6" t="s">
        <v>58</v>
      </c>
      <c r="B9" s="6" t="s">
        <v>59</v>
      </c>
      <c r="C9" s="6" t="s">
        <v>56</v>
      </c>
      <c r="D9" s="7">
        <v>75</v>
      </c>
      <c r="E9" s="7">
        <v>42</v>
      </c>
      <c r="F9" s="6" t="s">
        <v>37</v>
      </c>
      <c r="G9" s="6" t="s">
        <v>37</v>
      </c>
      <c r="H9" s="6" t="s">
        <v>37</v>
      </c>
      <c r="I9" s="6" t="s">
        <v>60</v>
      </c>
      <c r="J9" s="8">
        <v>24</v>
      </c>
    </row>
    <row r="10" spans="1:10">
      <c r="A10" s="6" t="s">
        <v>61</v>
      </c>
      <c r="B10" s="6" t="s">
        <v>62</v>
      </c>
      <c r="C10" s="6" t="s">
        <v>56</v>
      </c>
      <c r="D10" s="7">
        <v>290</v>
      </c>
      <c r="E10" s="7">
        <v>185</v>
      </c>
      <c r="F10" s="6" t="s">
        <v>37</v>
      </c>
      <c r="G10" s="6" t="s">
        <v>37</v>
      </c>
      <c r="H10" s="6" t="s">
        <v>37</v>
      </c>
      <c r="I10" s="6" t="s">
        <v>63</v>
      </c>
      <c r="J10" s="8">
        <v>8</v>
      </c>
    </row>
    <row r="11" spans="1:10">
      <c r="A11" s="6" t="s">
        <v>64</v>
      </c>
      <c r="B11" s="6" t="s">
        <v>65</v>
      </c>
      <c r="C11" s="6" t="s">
        <v>56</v>
      </c>
      <c r="D11" s="7">
        <v>395</v>
      </c>
      <c r="E11" s="7">
        <v>255</v>
      </c>
      <c r="F11" s="6" t="s">
        <v>37</v>
      </c>
      <c r="G11" s="6" t="s">
        <v>37</v>
      </c>
      <c r="H11" s="6" t="s">
        <v>37</v>
      </c>
      <c r="I11" s="6" t="s">
        <v>66</v>
      </c>
      <c r="J11" s="8">
        <v>8</v>
      </c>
    </row>
    <row r="12" spans="1:10">
      <c r="A12" s="6" t="s">
        <v>67</v>
      </c>
      <c r="B12" s="6" t="s">
        <v>68</v>
      </c>
      <c r="C12" s="6" t="s">
        <v>56</v>
      </c>
      <c r="D12" s="7">
        <v>180</v>
      </c>
      <c r="E12" s="7">
        <v>110</v>
      </c>
      <c r="F12" s="6" t="s">
        <v>37</v>
      </c>
      <c r="G12" s="6" t="s">
        <v>37</v>
      </c>
      <c r="H12" s="6" t="s">
        <v>37</v>
      </c>
      <c r="I12" s="6" t="s">
        <v>69</v>
      </c>
      <c r="J12" s="8">
        <v>12</v>
      </c>
    </row>
    <row r="13" spans="1:10">
      <c r="A13" s="6" t="s">
        <v>70</v>
      </c>
      <c r="B13" s="6" t="s">
        <v>71</v>
      </c>
      <c r="C13" s="6" t="s">
        <v>56</v>
      </c>
      <c r="D13" s="7">
        <v>45</v>
      </c>
      <c r="E13" s="7">
        <v>24</v>
      </c>
      <c r="F13" s="6" t="s">
        <v>37</v>
      </c>
      <c r="G13" s="6" t="s">
        <v>37</v>
      </c>
      <c r="H13" s="6" t="s">
        <v>37</v>
      </c>
      <c r="I13" s="6" t="s">
        <v>72</v>
      </c>
      <c r="J13" s="8">
        <v>30</v>
      </c>
    </row>
    <row r="14" spans="1:10">
      <c r="A14" s="6" t="s">
        <v>73</v>
      </c>
      <c r="B14" s="6" t="s">
        <v>74</v>
      </c>
      <c r="C14" s="6" t="s">
        <v>75</v>
      </c>
      <c r="D14" s="7">
        <v>320</v>
      </c>
      <c r="E14" s="7">
        <v>205</v>
      </c>
      <c r="F14" s="6" t="s">
        <v>37</v>
      </c>
      <c r="G14" s="6" t="s">
        <v>37</v>
      </c>
      <c r="H14" s="6" t="s">
        <v>37</v>
      </c>
      <c r="I14" s="6" t="s">
        <v>76</v>
      </c>
      <c r="J14" s="8">
        <v>10</v>
      </c>
    </row>
    <row r="15" spans="1:10">
      <c r="A15" s="6" t="s">
        <v>77</v>
      </c>
      <c r="B15" s="6" t="s">
        <v>78</v>
      </c>
      <c r="C15" s="6" t="s">
        <v>75</v>
      </c>
      <c r="D15" s="7">
        <v>420</v>
      </c>
      <c r="E15" s="7">
        <v>275</v>
      </c>
      <c r="F15" s="6" t="s">
        <v>37</v>
      </c>
      <c r="G15" s="6" t="s">
        <v>37</v>
      </c>
      <c r="H15" s="6" t="s">
        <v>37</v>
      </c>
      <c r="I15" s="6" t="s">
        <v>79</v>
      </c>
      <c r="J15" s="8">
        <v>0</v>
      </c>
    </row>
    <row r="16" spans="1:10">
      <c r="A16" s="6" t="s">
        <v>80</v>
      </c>
      <c r="B16" s="6" t="s">
        <v>81</v>
      </c>
      <c r="C16" s="6" t="s">
        <v>75</v>
      </c>
      <c r="D16" s="7">
        <v>240</v>
      </c>
      <c r="E16" s="7">
        <v>150</v>
      </c>
      <c r="F16" s="6" t="s">
        <v>37</v>
      </c>
      <c r="G16" s="6" t="s">
        <v>37</v>
      </c>
      <c r="H16" s="6" t="s">
        <v>37</v>
      </c>
      <c r="I16" s="6" t="s">
        <v>82</v>
      </c>
      <c r="J16" s="8">
        <v>10</v>
      </c>
    </row>
    <row r="17" spans="1:10">
      <c r="A17" s="6" t="s">
        <v>83</v>
      </c>
      <c r="B17" s="6" t="s">
        <v>84</v>
      </c>
      <c r="C17" s="6" t="s">
        <v>75</v>
      </c>
      <c r="D17" s="7">
        <v>65</v>
      </c>
      <c r="E17" s="7">
        <v>35</v>
      </c>
      <c r="F17" s="6" t="s">
        <v>37</v>
      </c>
      <c r="G17" s="6" t="s">
        <v>37</v>
      </c>
      <c r="H17" s="6" t="s">
        <v>37</v>
      </c>
      <c r="I17" s="6" t="s">
        <v>85</v>
      </c>
      <c r="J17" s="8">
        <v>30</v>
      </c>
    </row>
    <row r="18" spans="1:10">
      <c r="A18" s="6" t="s">
        <v>86</v>
      </c>
      <c r="B18" s="6" t="s">
        <v>87</v>
      </c>
      <c r="C18" s="6" t="s">
        <v>75</v>
      </c>
      <c r="D18" s="7">
        <v>40</v>
      </c>
      <c r="E18" s="7">
        <v>21</v>
      </c>
      <c r="F18" s="6" t="s">
        <v>37</v>
      </c>
      <c r="G18" s="6" t="s">
        <v>37</v>
      </c>
      <c r="H18" s="6" t="s">
        <v>37</v>
      </c>
      <c r="I18" s="6" t="s">
        <v>88</v>
      </c>
      <c r="J18" s="8">
        <v>25</v>
      </c>
    </row>
    <row r="19" spans="1:10">
      <c r="A19" s="6" t="s">
        <v>89</v>
      </c>
      <c r="B19" s="6" t="s">
        <v>90</v>
      </c>
      <c r="C19" s="6" t="s">
        <v>75</v>
      </c>
      <c r="D19" s="7">
        <v>15</v>
      </c>
      <c r="E19" s="7">
        <v>7</v>
      </c>
      <c r="F19" s="6" t="s">
        <v>37</v>
      </c>
      <c r="G19" s="6" t="s">
        <v>37</v>
      </c>
      <c r="H19" s="6" t="s">
        <v>37</v>
      </c>
      <c r="I19" s="6" t="s">
        <v>91</v>
      </c>
      <c r="J19" s="8">
        <v>49</v>
      </c>
    </row>
    <row r="20" spans="1:10">
      <c r="A20" s="6" t="s">
        <v>92</v>
      </c>
      <c r="B20" s="6" t="s">
        <v>93</v>
      </c>
      <c r="C20" s="6" t="s">
        <v>94</v>
      </c>
      <c r="D20" s="7">
        <v>285</v>
      </c>
      <c r="E20" s="7">
        <v>180</v>
      </c>
      <c r="F20" s="6" t="s">
        <v>37</v>
      </c>
      <c r="G20" s="6" t="s">
        <v>37</v>
      </c>
      <c r="H20" s="6" t="s">
        <v>37</v>
      </c>
      <c r="I20" s="6" t="s">
        <v>95</v>
      </c>
      <c r="J20" s="8">
        <v>8</v>
      </c>
    </row>
    <row r="21" spans="1:10">
      <c r="A21" s="6" t="s">
        <v>96</v>
      </c>
      <c r="B21" s="6" t="s">
        <v>97</v>
      </c>
      <c r="C21" s="6" t="s">
        <v>94</v>
      </c>
      <c r="D21" s="7">
        <v>35</v>
      </c>
      <c r="E21" s="7">
        <v>18</v>
      </c>
      <c r="F21" s="6" t="s">
        <v>37</v>
      </c>
      <c r="G21" s="6" t="s">
        <v>37</v>
      </c>
      <c r="H21" s="6" t="s">
        <v>37</v>
      </c>
      <c r="I21" s="6" t="s">
        <v>98</v>
      </c>
      <c r="J21" s="8">
        <v>12</v>
      </c>
    </row>
    <row r="22" spans="1:10">
      <c r="A22" s="6" t="s">
        <v>99</v>
      </c>
      <c r="B22" s="6" t="s">
        <v>100</v>
      </c>
      <c r="C22" s="6" t="s">
        <v>94</v>
      </c>
      <c r="D22" s="7">
        <v>120</v>
      </c>
      <c r="E22" s="7">
        <v>78</v>
      </c>
      <c r="F22" s="6" t="s">
        <v>37</v>
      </c>
      <c r="G22" s="6" t="s">
        <v>37</v>
      </c>
      <c r="H22" s="6" t="s">
        <v>37</v>
      </c>
      <c r="I22" s="6" t="s">
        <v>101</v>
      </c>
      <c r="J22" s="8">
        <v>20</v>
      </c>
    </row>
    <row r="23" spans="1:10">
      <c r="A23" s="6" t="s">
        <v>102</v>
      </c>
      <c r="B23" s="6" t="s">
        <v>103</v>
      </c>
      <c r="C23" s="6" t="s">
        <v>94</v>
      </c>
      <c r="D23" s="7">
        <v>145</v>
      </c>
      <c r="E23" s="7">
        <v>88</v>
      </c>
      <c r="F23" s="6" t="s">
        <v>37</v>
      </c>
      <c r="G23" s="6" t="s">
        <v>37</v>
      </c>
      <c r="H23" s="6" t="s">
        <v>37</v>
      </c>
      <c r="I23" s="6" t="s">
        <v>104</v>
      </c>
      <c r="J23" s="8">
        <v>15</v>
      </c>
    </row>
    <row r="24" spans="1:10">
      <c r="A24" s="6" t="s">
        <v>105</v>
      </c>
      <c r="B24" s="6" t="s">
        <v>106</v>
      </c>
      <c r="C24" s="6" t="s">
        <v>94</v>
      </c>
      <c r="D24" s="7">
        <v>110</v>
      </c>
      <c r="E24" s="7">
        <v>62</v>
      </c>
      <c r="F24" s="6" t="s">
        <v>37</v>
      </c>
      <c r="G24" s="6" t="s">
        <v>37</v>
      </c>
      <c r="H24" s="6" t="s">
        <v>37</v>
      </c>
      <c r="I24" s="6" t="s">
        <v>107</v>
      </c>
      <c r="J24" s="8">
        <v>12</v>
      </c>
    </row>
    <row r="25" spans="1:10">
      <c r="A25" s="6" t="s">
        <v>108</v>
      </c>
      <c r="B25" s="6" t="s">
        <v>109</v>
      </c>
      <c r="C25" s="6" t="s">
        <v>94</v>
      </c>
      <c r="D25" s="7">
        <v>195</v>
      </c>
      <c r="E25" s="7">
        <v>125</v>
      </c>
      <c r="F25" s="6" t="s">
        <v>37</v>
      </c>
      <c r="G25" s="6" t="s">
        <v>37</v>
      </c>
      <c r="H25" s="6" t="s">
        <v>37</v>
      </c>
      <c r="I25" s="6" t="s">
        <v>110</v>
      </c>
      <c r="J25" s="8">
        <v>8</v>
      </c>
    </row>
    <row r="26" spans="1:10">
      <c r="A26" s="6" t="s">
        <v>111</v>
      </c>
      <c r="B26" s="6" t="s">
        <v>112</v>
      </c>
      <c r="C26" s="6" t="s">
        <v>113</v>
      </c>
      <c r="D26" s="7">
        <v>295</v>
      </c>
      <c r="E26" s="7">
        <v>180</v>
      </c>
      <c r="F26" s="6" t="s">
        <v>37</v>
      </c>
      <c r="G26" s="6" t="s">
        <v>37</v>
      </c>
      <c r="H26" s="6" t="s">
        <v>37</v>
      </c>
      <c r="I26" s="6" t="s">
        <v>114</v>
      </c>
      <c r="J26" s="8">
        <v>12</v>
      </c>
    </row>
    <row r="27" spans="1:10">
      <c r="A27" s="6" t="s">
        <v>115</v>
      </c>
      <c r="B27" s="6" t="s">
        <v>116</v>
      </c>
      <c r="C27" s="6" t="s">
        <v>113</v>
      </c>
      <c r="D27" s="7">
        <v>650</v>
      </c>
      <c r="E27" s="7">
        <v>420</v>
      </c>
      <c r="F27" s="6" t="s">
        <v>37</v>
      </c>
      <c r="G27" s="6" t="s">
        <v>37</v>
      </c>
      <c r="H27" s="6" t="s">
        <v>37</v>
      </c>
      <c r="I27" s="6" t="s">
        <v>117</v>
      </c>
      <c r="J27" s="8">
        <v>5</v>
      </c>
    </row>
    <row r="28" spans="1:10">
      <c r="A28" s="6" t="s">
        <v>118</v>
      </c>
      <c r="B28" s="6" t="s">
        <v>119</v>
      </c>
      <c r="C28" s="6" t="s">
        <v>113</v>
      </c>
      <c r="D28" s="7">
        <v>890</v>
      </c>
      <c r="E28" s="7">
        <v>590</v>
      </c>
      <c r="F28" s="6" t="s">
        <v>37</v>
      </c>
      <c r="G28" s="6" t="s">
        <v>37</v>
      </c>
      <c r="H28" s="6" t="s">
        <v>37</v>
      </c>
      <c r="I28" s="6" t="s">
        <v>120</v>
      </c>
      <c r="J28" s="8">
        <v>4</v>
      </c>
    </row>
    <row r="29" spans="1:10">
      <c r="A29" s="6" t="s">
        <v>121</v>
      </c>
      <c r="B29" s="6" t="s">
        <v>122</v>
      </c>
      <c r="C29" s="6" t="s">
        <v>113</v>
      </c>
      <c r="D29" s="7">
        <v>135</v>
      </c>
      <c r="E29" s="7">
        <v>78</v>
      </c>
      <c r="F29" s="6" t="s">
        <v>37</v>
      </c>
      <c r="G29" s="6" t="s">
        <v>37</v>
      </c>
      <c r="H29" s="6" t="s">
        <v>37</v>
      </c>
      <c r="I29" s="6" t="s">
        <v>123</v>
      </c>
      <c r="J29" s="8">
        <v>20</v>
      </c>
    </row>
    <row r="30" spans="1:10">
      <c r="A30" s="6" t="s">
        <v>124</v>
      </c>
      <c r="B30" s="6" t="s">
        <v>125</v>
      </c>
      <c r="C30" s="6" t="s">
        <v>113</v>
      </c>
      <c r="D30" s="7">
        <v>680</v>
      </c>
      <c r="E30" s="7">
        <v>440</v>
      </c>
      <c r="F30" s="6" t="s">
        <v>37</v>
      </c>
      <c r="G30" s="6" t="s">
        <v>37</v>
      </c>
      <c r="H30" s="6" t="s">
        <v>37</v>
      </c>
      <c r="I30" s="6" t="s">
        <v>126</v>
      </c>
      <c r="J30" s="8">
        <v>4</v>
      </c>
    </row>
    <row r="31" spans="1:10">
      <c r="A31" s="6" t="s">
        <v>127</v>
      </c>
      <c r="B31" s="6" t="s">
        <v>128</v>
      </c>
      <c r="C31" s="6" t="s">
        <v>113</v>
      </c>
      <c r="D31" s="7">
        <v>180</v>
      </c>
      <c r="E31" s="7">
        <v>105</v>
      </c>
      <c r="F31" s="6" t="s">
        <v>37</v>
      </c>
      <c r="G31" s="6" t="s">
        <v>37</v>
      </c>
      <c r="H31" s="6" t="s">
        <v>37</v>
      </c>
      <c r="I31" s="6" t="s">
        <v>129</v>
      </c>
      <c r="J31" s="8">
        <v>10</v>
      </c>
    </row>
  </sheetData>
  <autoFilter ref="A1:J3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2.7109375" customWidth="1"/>
    <col min="4" max="4" width="44.7109375" customWidth="1"/>
    <col min="5" max="5" width="14.7109375" customWidth="1"/>
    <col min="6" max="6" width="16.7109375" customWidth="1"/>
  </cols>
  <sheetData>
    <row r="1" spans="1:6" ht="32" customHeight="1">
      <c r="A1" s="4" t="s">
        <v>130</v>
      </c>
      <c r="B1" s="4" t="s">
        <v>131</v>
      </c>
      <c r="C1" s="4" t="s">
        <v>132</v>
      </c>
      <c r="D1" s="5" t="s">
        <v>133</v>
      </c>
      <c r="E1" s="5" t="s">
        <v>134</v>
      </c>
      <c r="F1" s="5" t="s">
        <v>135</v>
      </c>
    </row>
    <row r="2" spans="1:6">
      <c r="A2" s="6" t="s">
        <v>34</v>
      </c>
      <c r="B2" s="6" t="s">
        <v>136</v>
      </c>
      <c r="C2" s="9">
        <v>60</v>
      </c>
      <c r="D2" s="8" t="s">
        <v>35</v>
      </c>
      <c r="E2" s="10">
        <v>28</v>
      </c>
      <c r="F2" s="10">
        <v>1680</v>
      </c>
    </row>
    <row r="3" spans="1:6">
      <c r="A3" s="6" t="s">
        <v>39</v>
      </c>
      <c r="B3" s="6" t="s">
        <v>136</v>
      </c>
      <c r="C3" s="9">
        <v>40</v>
      </c>
      <c r="D3" s="8" t="s">
        <v>40</v>
      </c>
      <c r="E3" s="10">
        <v>48</v>
      </c>
      <c r="F3" s="10">
        <v>1920</v>
      </c>
    </row>
    <row r="4" spans="1:6">
      <c r="A4" s="6" t="s">
        <v>42</v>
      </c>
      <c r="B4" s="6" t="s">
        <v>136</v>
      </c>
      <c r="C4" s="9">
        <v>24</v>
      </c>
      <c r="D4" s="8" t="s">
        <v>43</v>
      </c>
      <c r="E4" s="10">
        <v>72</v>
      </c>
      <c r="F4" s="10">
        <v>1728</v>
      </c>
    </row>
    <row r="5" spans="1:6">
      <c r="A5" s="6" t="s">
        <v>45</v>
      </c>
      <c r="B5" s="6" t="s">
        <v>136</v>
      </c>
      <c r="C5" s="9">
        <v>8</v>
      </c>
      <c r="D5" s="8" t="s">
        <v>46</v>
      </c>
      <c r="E5" s="10">
        <v>19</v>
      </c>
      <c r="F5" s="10">
        <v>152</v>
      </c>
    </row>
    <row r="6" spans="1:6">
      <c r="A6" s="6" t="s">
        <v>48</v>
      </c>
      <c r="B6" s="6" t="s">
        <v>136</v>
      </c>
      <c r="C6" s="9">
        <v>20</v>
      </c>
      <c r="D6" s="8" t="s">
        <v>49</v>
      </c>
      <c r="E6" s="10">
        <v>34</v>
      </c>
      <c r="F6" s="10">
        <v>680</v>
      </c>
    </row>
    <row r="7" spans="1:6">
      <c r="A7" s="6" t="s">
        <v>51</v>
      </c>
      <c r="B7" s="6" t="s">
        <v>136</v>
      </c>
      <c r="C7" s="9">
        <v>25</v>
      </c>
      <c r="D7" s="8" t="s">
        <v>52</v>
      </c>
      <c r="E7" s="10">
        <v>92</v>
      </c>
      <c r="F7" s="10">
        <v>2300</v>
      </c>
    </row>
    <row r="8" spans="1:6">
      <c r="A8" s="6" t="s">
        <v>54</v>
      </c>
      <c r="B8" s="6" t="s">
        <v>136</v>
      </c>
      <c r="C8" s="9">
        <v>6</v>
      </c>
      <c r="D8" s="8" t="s">
        <v>55</v>
      </c>
      <c r="E8" s="10">
        <v>55</v>
      </c>
      <c r="F8" s="10">
        <v>330</v>
      </c>
    </row>
    <row r="9" spans="1:6">
      <c r="A9" s="6" t="s">
        <v>58</v>
      </c>
      <c r="B9" s="6" t="s">
        <v>136</v>
      </c>
      <c r="C9" s="9">
        <v>24</v>
      </c>
      <c r="D9" s="8" t="s">
        <v>59</v>
      </c>
      <c r="E9" s="10">
        <v>42</v>
      </c>
      <c r="F9" s="10">
        <v>1008</v>
      </c>
    </row>
    <row r="10" spans="1:6">
      <c r="A10" s="6" t="s">
        <v>61</v>
      </c>
      <c r="B10" s="6" t="s">
        <v>136</v>
      </c>
      <c r="C10" s="9">
        <v>8</v>
      </c>
      <c r="D10" s="8" t="s">
        <v>62</v>
      </c>
      <c r="E10" s="10">
        <v>185</v>
      </c>
      <c r="F10" s="10">
        <v>1480</v>
      </c>
    </row>
    <row r="11" spans="1:6">
      <c r="A11" s="6" t="s">
        <v>64</v>
      </c>
      <c r="B11" s="6" t="s">
        <v>136</v>
      </c>
      <c r="C11" s="9">
        <v>8</v>
      </c>
      <c r="D11" s="8" t="s">
        <v>65</v>
      </c>
      <c r="E11" s="10">
        <v>255</v>
      </c>
      <c r="F11" s="10">
        <v>2040</v>
      </c>
    </row>
    <row r="12" spans="1:6">
      <c r="A12" s="6" t="s">
        <v>67</v>
      </c>
      <c r="B12" s="6" t="s">
        <v>136</v>
      </c>
      <c r="C12" s="9">
        <v>12</v>
      </c>
      <c r="D12" s="8" t="s">
        <v>68</v>
      </c>
      <c r="E12" s="10">
        <v>110</v>
      </c>
      <c r="F12" s="10">
        <v>1320</v>
      </c>
    </row>
    <row r="13" spans="1:6">
      <c r="A13" s="6" t="s">
        <v>70</v>
      </c>
      <c r="B13" s="6" t="s">
        <v>136</v>
      </c>
      <c r="C13" s="9">
        <v>30</v>
      </c>
      <c r="D13" s="8" t="s">
        <v>71</v>
      </c>
      <c r="E13" s="10">
        <v>24</v>
      </c>
      <c r="F13" s="10">
        <v>720</v>
      </c>
    </row>
    <row r="14" spans="1:6">
      <c r="A14" s="6" t="s">
        <v>73</v>
      </c>
      <c r="B14" s="6" t="s">
        <v>136</v>
      </c>
      <c r="C14" s="9">
        <v>10</v>
      </c>
      <c r="D14" s="8" t="s">
        <v>74</v>
      </c>
      <c r="E14" s="10">
        <v>205</v>
      </c>
      <c r="F14" s="10">
        <v>2050</v>
      </c>
    </row>
    <row r="15" spans="1:6">
      <c r="A15" s="6" t="s">
        <v>77</v>
      </c>
      <c r="B15" s="6" t="s">
        <v>136</v>
      </c>
      <c r="C15" s="9">
        <v>0</v>
      </c>
      <c r="D15" s="8" t="s">
        <v>78</v>
      </c>
      <c r="E15" s="10">
        <v>275</v>
      </c>
      <c r="F15" s="10">
        <v>0</v>
      </c>
    </row>
    <row r="16" spans="1:6">
      <c r="A16" s="6" t="s">
        <v>80</v>
      </c>
      <c r="B16" s="6" t="s">
        <v>136</v>
      </c>
      <c r="C16" s="9">
        <v>10</v>
      </c>
      <c r="D16" s="8" t="s">
        <v>81</v>
      </c>
      <c r="E16" s="10">
        <v>150</v>
      </c>
      <c r="F16" s="10">
        <v>1500</v>
      </c>
    </row>
    <row r="17" spans="1:6">
      <c r="A17" s="6" t="s">
        <v>83</v>
      </c>
      <c r="B17" s="6" t="s">
        <v>136</v>
      </c>
      <c r="C17" s="9">
        <v>30</v>
      </c>
      <c r="D17" s="8" t="s">
        <v>84</v>
      </c>
      <c r="E17" s="10">
        <v>35</v>
      </c>
      <c r="F17" s="10">
        <v>1050</v>
      </c>
    </row>
    <row r="18" spans="1:6">
      <c r="A18" s="6" t="s">
        <v>86</v>
      </c>
      <c r="B18" s="6" t="s">
        <v>136</v>
      </c>
      <c r="C18" s="9">
        <v>25</v>
      </c>
      <c r="D18" s="8" t="s">
        <v>87</v>
      </c>
      <c r="E18" s="10">
        <v>21</v>
      </c>
      <c r="F18" s="10">
        <v>525</v>
      </c>
    </row>
    <row r="19" spans="1:6">
      <c r="A19" s="6" t="s">
        <v>89</v>
      </c>
      <c r="B19" s="6" t="s">
        <v>136</v>
      </c>
      <c r="C19" s="9">
        <v>49</v>
      </c>
      <c r="D19" s="8" t="s">
        <v>90</v>
      </c>
      <c r="E19" s="10">
        <v>7</v>
      </c>
      <c r="F19" s="10">
        <v>343</v>
      </c>
    </row>
    <row r="20" spans="1:6">
      <c r="A20" s="6" t="s">
        <v>92</v>
      </c>
      <c r="B20" s="6" t="s">
        <v>136</v>
      </c>
      <c r="C20" s="9">
        <v>8</v>
      </c>
      <c r="D20" s="8" t="s">
        <v>93</v>
      </c>
      <c r="E20" s="10">
        <v>180</v>
      </c>
      <c r="F20" s="10">
        <v>1440</v>
      </c>
    </row>
    <row r="21" spans="1:6">
      <c r="A21" s="6" t="s">
        <v>96</v>
      </c>
      <c r="B21" s="6" t="s">
        <v>136</v>
      </c>
      <c r="C21" s="9">
        <v>12</v>
      </c>
      <c r="D21" s="8" t="s">
        <v>97</v>
      </c>
      <c r="E21" s="10">
        <v>18</v>
      </c>
      <c r="F21" s="10">
        <v>216</v>
      </c>
    </row>
    <row r="22" spans="1:6">
      <c r="A22" s="6" t="s">
        <v>99</v>
      </c>
      <c r="B22" s="6" t="s">
        <v>136</v>
      </c>
      <c r="C22" s="9">
        <v>20</v>
      </c>
      <c r="D22" s="8" t="s">
        <v>100</v>
      </c>
      <c r="E22" s="10">
        <v>78</v>
      </c>
      <c r="F22" s="10">
        <v>1560</v>
      </c>
    </row>
    <row r="23" spans="1:6">
      <c r="A23" s="6" t="s">
        <v>102</v>
      </c>
      <c r="B23" s="6" t="s">
        <v>136</v>
      </c>
      <c r="C23" s="9">
        <v>15</v>
      </c>
      <c r="D23" s="8" t="s">
        <v>103</v>
      </c>
      <c r="E23" s="10">
        <v>88</v>
      </c>
      <c r="F23" s="10">
        <v>1320</v>
      </c>
    </row>
    <row r="24" spans="1:6">
      <c r="A24" s="6" t="s">
        <v>105</v>
      </c>
      <c r="B24" s="6" t="s">
        <v>136</v>
      </c>
      <c r="C24" s="9">
        <v>12</v>
      </c>
      <c r="D24" s="8" t="s">
        <v>106</v>
      </c>
      <c r="E24" s="10">
        <v>62</v>
      </c>
      <c r="F24" s="10">
        <v>744</v>
      </c>
    </row>
    <row r="25" spans="1:6">
      <c r="A25" s="6" t="s">
        <v>108</v>
      </c>
      <c r="B25" s="6" t="s">
        <v>136</v>
      </c>
      <c r="C25" s="9">
        <v>8</v>
      </c>
      <c r="D25" s="8" t="s">
        <v>109</v>
      </c>
      <c r="E25" s="10">
        <v>125</v>
      </c>
      <c r="F25" s="10">
        <v>1000</v>
      </c>
    </row>
    <row r="26" spans="1:6">
      <c r="A26" s="6" t="s">
        <v>111</v>
      </c>
      <c r="B26" s="6" t="s">
        <v>136</v>
      </c>
      <c r="C26" s="9">
        <v>12</v>
      </c>
      <c r="D26" s="8" t="s">
        <v>112</v>
      </c>
      <c r="E26" s="10">
        <v>180</v>
      </c>
      <c r="F26" s="10">
        <v>2160</v>
      </c>
    </row>
    <row r="27" spans="1:6">
      <c r="A27" s="6" t="s">
        <v>115</v>
      </c>
      <c r="B27" s="6" t="s">
        <v>136</v>
      </c>
      <c r="C27" s="9">
        <v>5</v>
      </c>
      <c r="D27" s="8" t="s">
        <v>116</v>
      </c>
      <c r="E27" s="10">
        <v>420</v>
      </c>
      <c r="F27" s="10">
        <v>2100</v>
      </c>
    </row>
    <row r="28" spans="1:6">
      <c r="A28" s="6" t="s">
        <v>118</v>
      </c>
      <c r="B28" s="6" t="s">
        <v>136</v>
      </c>
      <c r="C28" s="9">
        <v>4</v>
      </c>
      <c r="D28" s="8" t="s">
        <v>119</v>
      </c>
      <c r="E28" s="10">
        <v>590</v>
      </c>
      <c r="F28" s="10">
        <v>2360</v>
      </c>
    </row>
    <row r="29" spans="1:6">
      <c r="A29" s="6" t="s">
        <v>121</v>
      </c>
      <c r="B29" s="6" t="s">
        <v>136</v>
      </c>
      <c r="C29" s="9">
        <v>20</v>
      </c>
      <c r="D29" s="8" t="s">
        <v>122</v>
      </c>
      <c r="E29" s="10">
        <v>78</v>
      </c>
      <c r="F29" s="10">
        <v>1560</v>
      </c>
    </row>
    <row r="30" spans="1:6">
      <c r="A30" s="6" t="s">
        <v>124</v>
      </c>
      <c r="B30" s="6" t="s">
        <v>136</v>
      </c>
      <c r="C30" s="9">
        <v>4</v>
      </c>
      <c r="D30" s="8" t="s">
        <v>125</v>
      </c>
      <c r="E30" s="10">
        <v>440</v>
      </c>
      <c r="F30" s="10">
        <v>1760</v>
      </c>
    </row>
    <row r="31" spans="1:6">
      <c r="A31" s="6" t="s">
        <v>127</v>
      </c>
      <c r="B31" s="6" t="s">
        <v>136</v>
      </c>
      <c r="C31" s="9">
        <v>10</v>
      </c>
      <c r="D31" s="8" t="s">
        <v>128</v>
      </c>
      <c r="E31" s="10">
        <v>105</v>
      </c>
      <c r="F31" s="10">
        <v>1050</v>
      </c>
    </row>
    <row r="32" spans="1:6">
      <c r="E32" s="11" t="s">
        <v>137</v>
      </c>
      <c r="F32" s="11">
        <v>38096</v>
      </c>
    </row>
  </sheetData>
  <autoFilter ref="A1:F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44.7109375" customWidth="1"/>
    <col min="5" max="5" width="14.7109375" customWidth="1"/>
    <col min="6" max="6" width="30.7109375" customWidth="1"/>
  </cols>
  <sheetData>
    <row r="1" spans="1:6" ht="32" customHeight="1">
      <c r="A1" s="4" t="s">
        <v>130</v>
      </c>
      <c r="B1" s="4" t="s">
        <v>138</v>
      </c>
      <c r="C1" s="4" t="s">
        <v>139</v>
      </c>
      <c r="D1" s="5" t="s">
        <v>133</v>
      </c>
      <c r="E1" s="5" t="s">
        <v>33</v>
      </c>
      <c r="F1" s="5" t="s">
        <v>140</v>
      </c>
    </row>
    <row r="2" spans="1:6">
      <c r="A2" s="6" t="s">
        <v>34</v>
      </c>
      <c r="B2" s="9">
        <v>20</v>
      </c>
      <c r="C2" s="9">
        <v>80</v>
      </c>
      <c r="D2" s="8" t="s">
        <v>35</v>
      </c>
      <c r="E2" s="8">
        <v>60</v>
      </c>
      <c r="F2" s="8" t="s">
        <v>141</v>
      </c>
    </row>
    <row r="3" spans="1:6">
      <c r="A3" s="6" t="s">
        <v>39</v>
      </c>
      <c r="B3" s="9">
        <v>15</v>
      </c>
      <c r="C3" s="9">
        <v>60</v>
      </c>
      <c r="D3" s="8" t="s">
        <v>40</v>
      </c>
      <c r="E3" s="8">
        <v>40</v>
      </c>
      <c r="F3" s="8" t="s">
        <v>141</v>
      </c>
    </row>
    <row r="4" spans="1:6">
      <c r="A4" s="6" t="s">
        <v>42</v>
      </c>
      <c r="B4" s="9">
        <v>10</v>
      </c>
      <c r="C4" s="9">
        <v>40</v>
      </c>
      <c r="D4" s="8" t="s">
        <v>43</v>
      </c>
      <c r="E4" s="8">
        <v>24</v>
      </c>
      <c r="F4" s="8" t="s">
        <v>141</v>
      </c>
    </row>
    <row r="5" spans="1:6">
      <c r="A5" s="6" t="s">
        <v>45</v>
      </c>
      <c r="B5" s="9">
        <v>20</v>
      </c>
      <c r="C5" s="9">
        <v>80</v>
      </c>
      <c r="D5" s="8" t="s">
        <v>46</v>
      </c>
      <c r="E5" s="8">
        <v>8</v>
      </c>
      <c r="F5" s="8" t="s">
        <v>142</v>
      </c>
    </row>
    <row r="6" spans="1:6">
      <c r="A6" s="6" t="s">
        <v>48</v>
      </c>
      <c r="B6" s="9">
        <v>8</v>
      </c>
      <c r="C6" s="9">
        <v>30</v>
      </c>
      <c r="D6" s="8" t="s">
        <v>49</v>
      </c>
      <c r="E6" s="8">
        <v>20</v>
      </c>
      <c r="F6" s="8" t="s">
        <v>141</v>
      </c>
    </row>
    <row r="7" spans="1:6">
      <c r="A7" s="6" t="s">
        <v>51</v>
      </c>
      <c r="B7" s="9">
        <v>10</v>
      </c>
      <c r="C7" s="9">
        <v>40</v>
      </c>
      <c r="D7" s="8" t="s">
        <v>52</v>
      </c>
      <c r="E7" s="8">
        <v>25</v>
      </c>
      <c r="F7" s="8" t="s">
        <v>141</v>
      </c>
    </row>
    <row r="8" spans="1:6">
      <c r="A8" s="6" t="s">
        <v>54</v>
      </c>
      <c r="B8" s="9">
        <v>15</v>
      </c>
      <c r="C8" s="9">
        <v>50</v>
      </c>
      <c r="D8" s="8" t="s">
        <v>55</v>
      </c>
      <c r="E8" s="8">
        <v>6</v>
      </c>
      <c r="F8" s="8" t="s">
        <v>142</v>
      </c>
    </row>
    <row r="9" spans="1:6">
      <c r="A9" s="6" t="s">
        <v>58</v>
      </c>
      <c r="B9" s="9">
        <v>10</v>
      </c>
      <c r="C9" s="9">
        <v>40</v>
      </c>
      <c r="D9" s="8" t="s">
        <v>59</v>
      </c>
      <c r="E9" s="8">
        <v>24</v>
      </c>
      <c r="F9" s="8" t="s">
        <v>141</v>
      </c>
    </row>
    <row r="10" spans="1:6">
      <c r="A10" s="6" t="s">
        <v>61</v>
      </c>
      <c r="B10" s="9">
        <v>3</v>
      </c>
      <c r="C10" s="9">
        <v>12</v>
      </c>
      <c r="D10" s="8" t="s">
        <v>62</v>
      </c>
      <c r="E10" s="8">
        <v>8</v>
      </c>
      <c r="F10" s="8" t="s">
        <v>141</v>
      </c>
    </row>
    <row r="11" spans="1:6">
      <c r="A11" s="6" t="s">
        <v>64</v>
      </c>
      <c r="B11" s="9">
        <v>4</v>
      </c>
      <c r="C11" s="9">
        <v>15</v>
      </c>
      <c r="D11" s="8" t="s">
        <v>65</v>
      </c>
      <c r="E11" s="8">
        <v>8</v>
      </c>
      <c r="F11" s="8" t="s">
        <v>141</v>
      </c>
    </row>
    <row r="12" spans="1:6">
      <c r="A12" s="6" t="s">
        <v>67</v>
      </c>
      <c r="B12" s="9">
        <v>5</v>
      </c>
      <c r="C12" s="9">
        <v>20</v>
      </c>
      <c r="D12" s="8" t="s">
        <v>68</v>
      </c>
      <c r="E12" s="8">
        <v>12</v>
      </c>
      <c r="F12" s="8" t="s">
        <v>141</v>
      </c>
    </row>
    <row r="13" spans="1:6">
      <c r="A13" s="6" t="s">
        <v>70</v>
      </c>
      <c r="B13" s="9">
        <v>10</v>
      </c>
      <c r="C13" s="9">
        <v>40</v>
      </c>
      <c r="D13" s="8" t="s">
        <v>71</v>
      </c>
      <c r="E13" s="8">
        <v>30</v>
      </c>
      <c r="F13" s="8" t="s">
        <v>141</v>
      </c>
    </row>
    <row r="14" spans="1:6">
      <c r="A14" s="6" t="s">
        <v>73</v>
      </c>
      <c r="B14" s="9">
        <v>4</v>
      </c>
      <c r="C14" s="9">
        <v>16</v>
      </c>
      <c r="D14" s="8" t="s">
        <v>74</v>
      </c>
      <c r="E14" s="8">
        <v>10</v>
      </c>
      <c r="F14" s="8" t="s">
        <v>141</v>
      </c>
    </row>
    <row r="15" spans="1:6">
      <c r="A15" s="6" t="s">
        <v>77</v>
      </c>
      <c r="B15" s="9">
        <v>4</v>
      </c>
      <c r="C15" s="9">
        <v>16</v>
      </c>
      <c r="D15" s="8" t="s">
        <v>78</v>
      </c>
      <c r="E15" s="8">
        <v>0</v>
      </c>
      <c r="F15" s="8" t="s">
        <v>143</v>
      </c>
    </row>
    <row r="16" spans="1:6">
      <c r="A16" s="6" t="s">
        <v>80</v>
      </c>
      <c r="B16" s="9">
        <v>4</v>
      </c>
      <c r="C16" s="9">
        <v>16</v>
      </c>
      <c r="D16" s="8" t="s">
        <v>81</v>
      </c>
      <c r="E16" s="8">
        <v>10</v>
      </c>
      <c r="F16" s="8" t="s">
        <v>141</v>
      </c>
    </row>
    <row r="17" spans="1:6">
      <c r="A17" s="6" t="s">
        <v>83</v>
      </c>
      <c r="B17" s="9">
        <v>10</v>
      </c>
      <c r="C17" s="9">
        <v>40</v>
      </c>
      <c r="D17" s="8" t="s">
        <v>84</v>
      </c>
      <c r="E17" s="8">
        <v>30</v>
      </c>
      <c r="F17" s="8" t="s">
        <v>141</v>
      </c>
    </row>
    <row r="18" spans="1:6">
      <c r="A18" s="6" t="s">
        <v>86</v>
      </c>
      <c r="B18" s="9">
        <v>8</v>
      </c>
      <c r="C18" s="9">
        <v>30</v>
      </c>
      <c r="D18" s="8" t="s">
        <v>87</v>
      </c>
      <c r="E18" s="8">
        <v>25</v>
      </c>
      <c r="F18" s="8" t="s">
        <v>141</v>
      </c>
    </row>
    <row r="19" spans="1:6">
      <c r="A19" s="6" t="s">
        <v>89</v>
      </c>
      <c r="B19" s="9">
        <v>20</v>
      </c>
      <c r="C19" s="9">
        <v>80</v>
      </c>
      <c r="D19" s="8" t="s">
        <v>90</v>
      </c>
      <c r="E19" s="8">
        <v>49</v>
      </c>
      <c r="F19" s="8" t="s">
        <v>141</v>
      </c>
    </row>
    <row r="20" spans="1:6">
      <c r="A20" s="6" t="s">
        <v>92</v>
      </c>
      <c r="B20" s="9">
        <v>4</v>
      </c>
      <c r="C20" s="9">
        <v>15</v>
      </c>
      <c r="D20" s="8" t="s">
        <v>93</v>
      </c>
      <c r="E20" s="8">
        <v>8</v>
      </c>
      <c r="F20" s="8" t="s">
        <v>141</v>
      </c>
    </row>
    <row r="21" spans="1:6">
      <c r="A21" s="6" t="s">
        <v>96</v>
      </c>
      <c r="B21" s="9">
        <v>30</v>
      </c>
      <c r="C21" s="9">
        <v>100</v>
      </c>
      <c r="D21" s="8" t="s">
        <v>97</v>
      </c>
      <c r="E21" s="8">
        <v>12</v>
      </c>
      <c r="F21" s="8" t="s">
        <v>142</v>
      </c>
    </row>
    <row r="22" spans="1:6">
      <c r="A22" s="6" t="s">
        <v>99</v>
      </c>
      <c r="B22" s="9">
        <v>8</v>
      </c>
      <c r="C22" s="9">
        <v>30</v>
      </c>
      <c r="D22" s="8" t="s">
        <v>100</v>
      </c>
      <c r="E22" s="8">
        <v>20</v>
      </c>
      <c r="F22" s="8" t="s">
        <v>141</v>
      </c>
    </row>
    <row r="23" spans="1:6">
      <c r="A23" s="6" t="s">
        <v>102</v>
      </c>
      <c r="B23" s="9">
        <v>5</v>
      </c>
      <c r="C23" s="9">
        <v>20</v>
      </c>
      <c r="D23" s="8" t="s">
        <v>103</v>
      </c>
      <c r="E23" s="8">
        <v>15</v>
      </c>
      <c r="F23" s="8" t="s">
        <v>141</v>
      </c>
    </row>
    <row r="24" spans="1:6">
      <c r="A24" s="6" t="s">
        <v>105</v>
      </c>
      <c r="B24" s="9">
        <v>5</v>
      </c>
      <c r="C24" s="9">
        <v>20</v>
      </c>
      <c r="D24" s="8" t="s">
        <v>106</v>
      </c>
      <c r="E24" s="8">
        <v>12</v>
      </c>
      <c r="F24" s="8" t="s">
        <v>141</v>
      </c>
    </row>
    <row r="25" spans="1:6">
      <c r="A25" s="6" t="s">
        <v>108</v>
      </c>
      <c r="B25" s="9">
        <v>3</v>
      </c>
      <c r="C25" s="9">
        <v>12</v>
      </c>
      <c r="D25" s="8" t="s">
        <v>109</v>
      </c>
      <c r="E25" s="8">
        <v>8</v>
      </c>
      <c r="F25" s="8" t="s">
        <v>141</v>
      </c>
    </row>
    <row r="26" spans="1:6">
      <c r="A26" s="6" t="s">
        <v>111</v>
      </c>
      <c r="B26" s="9">
        <v>4</v>
      </c>
      <c r="C26" s="9">
        <v>16</v>
      </c>
      <c r="D26" s="8" t="s">
        <v>112</v>
      </c>
      <c r="E26" s="8">
        <v>12</v>
      </c>
      <c r="F26" s="8" t="s">
        <v>141</v>
      </c>
    </row>
    <row r="27" spans="1:6">
      <c r="A27" s="6" t="s">
        <v>115</v>
      </c>
      <c r="B27" s="9">
        <v>2</v>
      </c>
      <c r="C27" s="9">
        <v>8</v>
      </c>
      <c r="D27" s="8" t="s">
        <v>116</v>
      </c>
      <c r="E27" s="8">
        <v>5</v>
      </c>
      <c r="F27" s="8" t="s">
        <v>141</v>
      </c>
    </row>
    <row r="28" spans="1:6">
      <c r="A28" s="6" t="s">
        <v>118</v>
      </c>
      <c r="B28" s="9">
        <v>2</v>
      </c>
      <c r="C28" s="9">
        <v>6</v>
      </c>
      <c r="D28" s="8" t="s">
        <v>119</v>
      </c>
      <c r="E28" s="8">
        <v>4</v>
      </c>
      <c r="F28" s="8" t="s">
        <v>141</v>
      </c>
    </row>
    <row r="29" spans="1:6">
      <c r="A29" s="6" t="s">
        <v>121</v>
      </c>
      <c r="B29" s="9">
        <v>6</v>
      </c>
      <c r="C29" s="9">
        <v>24</v>
      </c>
      <c r="D29" s="8" t="s">
        <v>122</v>
      </c>
      <c r="E29" s="8">
        <v>20</v>
      </c>
      <c r="F29" s="8" t="s">
        <v>141</v>
      </c>
    </row>
    <row r="30" spans="1:6">
      <c r="A30" s="6" t="s">
        <v>124</v>
      </c>
      <c r="B30" s="9">
        <v>2</v>
      </c>
      <c r="C30" s="9">
        <v>8</v>
      </c>
      <c r="D30" s="8" t="s">
        <v>125</v>
      </c>
      <c r="E30" s="8">
        <v>4</v>
      </c>
      <c r="F30" s="8" t="s">
        <v>141</v>
      </c>
    </row>
    <row r="31" spans="1:6">
      <c r="A31" s="6" t="s">
        <v>127</v>
      </c>
      <c r="B31" s="9">
        <v>4</v>
      </c>
      <c r="C31" s="9">
        <v>15</v>
      </c>
      <c r="D31" s="8" t="s">
        <v>128</v>
      </c>
      <c r="E31" s="8">
        <v>10</v>
      </c>
      <c r="F31" s="8" t="s">
        <v>141</v>
      </c>
    </row>
  </sheetData>
  <autoFilter ref="A1:F3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2.7109375" customWidth="1"/>
    <col min="3" max="3" width="30.7109375" customWidth="1"/>
    <col min="4" max="4" width="16.7109375" customWidth="1"/>
    <col min="5" max="5" width="26.7109375" customWidth="1"/>
    <col min="6" max="7" width="12.7109375" customWidth="1"/>
    <col min="8" max="8" width="30.7109375" customWidth="1"/>
    <col min="9" max="9" width="28.7109375" customWidth="1"/>
    <col min="10" max="10" width="30.7109375" customWidth="1"/>
  </cols>
  <sheetData>
    <row r="1" spans="1:10" ht="32" customHeight="1">
      <c r="A1" s="4" t="s">
        <v>25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5" t="s">
        <v>151</v>
      </c>
      <c r="J1" s="5" t="s">
        <v>152</v>
      </c>
    </row>
    <row r="2" spans="1:10">
      <c r="A2" s="6" t="s">
        <v>153</v>
      </c>
      <c r="B2" s="6" t="s">
        <v>37</v>
      </c>
      <c r="C2" s="6" t="s">
        <v>154</v>
      </c>
      <c r="D2" s="6" t="s">
        <v>155</v>
      </c>
      <c r="E2" s="6" t="s">
        <v>156</v>
      </c>
      <c r="F2" s="6" t="s">
        <v>157</v>
      </c>
      <c r="G2" s="6" t="s">
        <v>157</v>
      </c>
      <c r="H2" s="6" t="s">
        <v>158</v>
      </c>
      <c r="I2" s="8" t="s">
        <v>36</v>
      </c>
      <c r="J2" s="8" t="s">
        <v>159</v>
      </c>
    </row>
    <row r="3" spans="1:10">
      <c r="A3" s="6" t="s">
        <v>160</v>
      </c>
      <c r="B3" s="6" t="s">
        <v>37</v>
      </c>
      <c r="C3" s="6" t="s">
        <v>161</v>
      </c>
      <c r="D3" s="6" t="s">
        <v>162</v>
      </c>
      <c r="E3" s="6" t="s">
        <v>163</v>
      </c>
      <c r="F3" s="6" t="s">
        <v>157</v>
      </c>
      <c r="G3" s="6" t="s">
        <v>157</v>
      </c>
      <c r="H3" s="6" t="s">
        <v>158</v>
      </c>
      <c r="I3" s="8" t="s">
        <v>56</v>
      </c>
      <c r="J3" s="8" t="s">
        <v>159</v>
      </c>
    </row>
    <row r="4" spans="1:10">
      <c r="A4" s="6" t="s">
        <v>164</v>
      </c>
      <c r="B4" s="6" t="s">
        <v>37</v>
      </c>
      <c r="C4" s="6" t="s">
        <v>165</v>
      </c>
      <c r="D4" s="6" t="s">
        <v>166</v>
      </c>
      <c r="E4" s="6" t="s">
        <v>167</v>
      </c>
      <c r="F4" s="6" t="s">
        <v>157</v>
      </c>
      <c r="G4" s="6" t="s">
        <v>157</v>
      </c>
      <c r="H4" s="6" t="s">
        <v>168</v>
      </c>
      <c r="I4" s="8" t="s">
        <v>75</v>
      </c>
      <c r="J4" s="8" t="s">
        <v>168</v>
      </c>
    </row>
    <row r="5" spans="1:10">
      <c r="A5" s="6" t="s">
        <v>169</v>
      </c>
      <c r="B5" s="6" t="s">
        <v>37</v>
      </c>
      <c r="C5" s="6" t="s">
        <v>170</v>
      </c>
      <c r="D5" s="6" t="s">
        <v>171</v>
      </c>
      <c r="E5" s="6" t="s">
        <v>172</v>
      </c>
      <c r="F5" s="6" t="s">
        <v>157</v>
      </c>
      <c r="G5" s="6" t="s">
        <v>157</v>
      </c>
      <c r="H5" s="6" t="s">
        <v>173</v>
      </c>
      <c r="I5" s="8" t="s">
        <v>94</v>
      </c>
      <c r="J5" s="8" t="s">
        <v>174</v>
      </c>
    </row>
    <row r="6" spans="1:10">
      <c r="A6" s="6" t="s">
        <v>175</v>
      </c>
      <c r="B6" s="6" t="s">
        <v>37</v>
      </c>
      <c r="C6" s="6" t="s">
        <v>176</v>
      </c>
      <c r="D6" s="6" t="s">
        <v>177</v>
      </c>
      <c r="E6" s="6" t="s">
        <v>178</v>
      </c>
      <c r="F6" s="6" t="s">
        <v>157</v>
      </c>
      <c r="G6" s="6" t="s">
        <v>157</v>
      </c>
      <c r="H6" s="6" t="s">
        <v>179</v>
      </c>
      <c r="I6" s="8" t="s">
        <v>113</v>
      </c>
      <c r="J6" s="8" t="s">
        <v>180</v>
      </c>
    </row>
  </sheetData>
  <autoFilter ref="A1:J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4.7109375" customWidth="1"/>
    <col min="3" max="3" width="22.7109375" customWidth="1"/>
    <col min="4" max="4" width="30.7109375" customWidth="1"/>
    <col min="5" max="5" width="16.7109375" customWidth="1"/>
  </cols>
  <sheetData>
    <row r="1" spans="1:5" ht="32" customHeight="1">
      <c r="A1" s="4" t="s">
        <v>25</v>
      </c>
      <c r="B1" s="4" t="s">
        <v>181</v>
      </c>
      <c r="C1" s="4" t="s">
        <v>182</v>
      </c>
      <c r="D1" s="4" t="s">
        <v>145</v>
      </c>
      <c r="E1" s="4" t="s">
        <v>146</v>
      </c>
    </row>
    <row r="2" spans="1:5">
      <c r="A2" s="6" t="s">
        <v>183</v>
      </c>
      <c r="B2" s="6" t="s">
        <v>153</v>
      </c>
      <c r="C2" s="6" t="s">
        <v>184</v>
      </c>
      <c r="D2" s="6" t="s">
        <v>154</v>
      </c>
      <c r="E2" s="6" t="s">
        <v>155</v>
      </c>
    </row>
    <row r="3" spans="1:5">
      <c r="A3" s="6" t="s">
        <v>185</v>
      </c>
      <c r="B3" s="6" t="s">
        <v>160</v>
      </c>
      <c r="C3" s="6" t="s">
        <v>186</v>
      </c>
      <c r="D3" s="6" t="s">
        <v>161</v>
      </c>
      <c r="E3" s="6" t="s">
        <v>162</v>
      </c>
    </row>
    <row r="4" spans="1:5">
      <c r="A4" s="6" t="s">
        <v>187</v>
      </c>
      <c r="B4" s="6" t="s">
        <v>164</v>
      </c>
      <c r="C4" s="6" t="s">
        <v>188</v>
      </c>
      <c r="D4" s="6" t="s">
        <v>165</v>
      </c>
      <c r="E4" s="6" t="s">
        <v>166</v>
      </c>
    </row>
    <row r="5" spans="1:5">
      <c r="A5" s="6" t="s">
        <v>189</v>
      </c>
      <c r="B5" s="6" t="s">
        <v>169</v>
      </c>
      <c r="C5" s="6" t="s">
        <v>190</v>
      </c>
      <c r="D5" s="6" t="s">
        <v>170</v>
      </c>
      <c r="E5" s="6" t="s">
        <v>171</v>
      </c>
    </row>
    <row r="6" spans="1:5">
      <c r="A6" s="6" t="s">
        <v>191</v>
      </c>
      <c r="B6" s="6" t="s">
        <v>175</v>
      </c>
      <c r="C6" s="6" t="s">
        <v>192</v>
      </c>
      <c r="D6" s="6" t="s">
        <v>176</v>
      </c>
      <c r="E6" s="6" t="s">
        <v>177</v>
      </c>
    </row>
  </sheetData>
  <autoFilter ref="A1:E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44.7109375" customWidth="1"/>
    <col min="3" max="3" width="10.7109375" customWidth="1"/>
    <col min="4" max="4" width="12.7109375" customWidth="1"/>
    <col min="5" max="6" width="14.7109375" customWidth="1"/>
  </cols>
  <sheetData>
    <row r="1" spans="1:6" ht="32" customHeight="1">
      <c r="A1" s="4" t="s">
        <v>193</v>
      </c>
      <c r="B1" s="4" t="s">
        <v>130</v>
      </c>
      <c r="C1" s="4" t="s">
        <v>194</v>
      </c>
      <c r="D1" s="4" t="s">
        <v>138</v>
      </c>
      <c r="E1" s="4" t="s">
        <v>195</v>
      </c>
      <c r="F1" s="5" t="s">
        <v>196</v>
      </c>
    </row>
    <row r="2" spans="1:6">
      <c r="A2" s="6" t="s">
        <v>153</v>
      </c>
      <c r="B2" s="6" t="s">
        <v>35</v>
      </c>
      <c r="C2" s="7">
        <v>28</v>
      </c>
      <c r="D2" s="9">
        <v>1</v>
      </c>
      <c r="E2" s="9">
        <v>5</v>
      </c>
      <c r="F2" s="8" t="s">
        <v>34</v>
      </c>
    </row>
    <row r="3" spans="1:6">
      <c r="A3" s="6" t="s">
        <v>153</v>
      </c>
      <c r="B3" s="6" t="s">
        <v>40</v>
      </c>
      <c r="C3" s="7">
        <v>48</v>
      </c>
      <c r="D3" s="9">
        <v>1</v>
      </c>
      <c r="E3" s="9">
        <v>5</v>
      </c>
      <c r="F3" s="8" t="s">
        <v>39</v>
      </c>
    </row>
    <row r="4" spans="1:6">
      <c r="A4" s="6" t="s">
        <v>153</v>
      </c>
      <c r="B4" s="6" t="s">
        <v>43</v>
      </c>
      <c r="C4" s="7">
        <v>72</v>
      </c>
      <c r="D4" s="9">
        <v>1</v>
      </c>
      <c r="E4" s="9">
        <v>5</v>
      </c>
      <c r="F4" s="8" t="s">
        <v>42</v>
      </c>
    </row>
    <row r="5" spans="1:6">
      <c r="A5" s="6" t="s">
        <v>153</v>
      </c>
      <c r="B5" s="6" t="s">
        <v>46</v>
      </c>
      <c r="C5" s="7">
        <v>19</v>
      </c>
      <c r="D5" s="9">
        <v>1</v>
      </c>
      <c r="E5" s="9">
        <v>5</v>
      </c>
      <c r="F5" s="8" t="s">
        <v>45</v>
      </c>
    </row>
    <row r="6" spans="1:6">
      <c r="A6" s="6" t="s">
        <v>153</v>
      </c>
      <c r="B6" s="6" t="s">
        <v>49</v>
      </c>
      <c r="C6" s="7">
        <v>34</v>
      </c>
      <c r="D6" s="9">
        <v>1</v>
      </c>
      <c r="E6" s="9">
        <v>5</v>
      </c>
      <c r="F6" s="8" t="s">
        <v>48</v>
      </c>
    </row>
    <row r="7" spans="1:6">
      <c r="A7" s="6" t="s">
        <v>153</v>
      </c>
      <c r="B7" s="6" t="s">
        <v>52</v>
      </c>
      <c r="C7" s="7">
        <v>92</v>
      </c>
      <c r="D7" s="9">
        <v>1</v>
      </c>
      <c r="E7" s="9">
        <v>5</v>
      </c>
      <c r="F7" s="8" t="s">
        <v>51</v>
      </c>
    </row>
    <row r="8" spans="1:6">
      <c r="A8" s="6" t="s">
        <v>160</v>
      </c>
      <c r="B8" s="6" t="s">
        <v>55</v>
      </c>
      <c r="C8" s="7">
        <v>55</v>
      </c>
      <c r="D8" s="9">
        <v>1</v>
      </c>
      <c r="E8" s="9">
        <v>4</v>
      </c>
      <c r="F8" s="8" t="s">
        <v>54</v>
      </c>
    </row>
    <row r="9" spans="1:6">
      <c r="A9" s="6" t="s">
        <v>160</v>
      </c>
      <c r="B9" s="6" t="s">
        <v>59</v>
      </c>
      <c r="C9" s="7">
        <v>42</v>
      </c>
      <c r="D9" s="9">
        <v>1</v>
      </c>
      <c r="E9" s="9">
        <v>4</v>
      </c>
      <c r="F9" s="8" t="s">
        <v>58</v>
      </c>
    </row>
    <row r="10" spans="1:6">
      <c r="A10" s="6" t="s">
        <v>160</v>
      </c>
      <c r="B10" s="6" t="s">
        <v>62</v>
      </c>
      <c r="C10" s="7">
        <v>185</v>
      </c>
      <c r="D10" s="9">
        <v>1</v>
      </c>
      <c r="E10" s="9">
        <v>4</v>
      </c>
      <c r="F10" s="8" t="s">
        <v>61</v>
      </c>
    </row>
    <row r="11" spans="1:6">
      <c r="A11" s="6" t="s">
        <v>160</v>
      </c>
      <c r="B11" s="6" t="s">
        <v>65</v>
      </c>
      <c r="C11" s="7">
        <v>255</v>
      </c>
      <c r="D11" s="9">
        <v>1</v>
      </c>
      <c r="E11" s="9">
        <v>4</v>
      </c>
      <c r="F11" s="8" t="s">
        <v>64</v>
      </c>
    </row>
    <row r="12" spans="1:6">
      <c r="A12" s="6" t="s">
        <v>160</v>
      </c>
      <c r="B12" s="6" t="s">
        <v>68</v>
      </c>
      <c r="C12" s="7">
        <v>110</v>
      </c>
      <c r="D12" s="9">
        <v>1</v>
      </c>
      <c r="E12" s="9">
        <v>4</v>
      </c>
      <c r="F12" s="8" t="s">
        <v>67</v>
      </c>
    </row>
    <row r="13" spans="1:6">
      <c r="A13" s="6" t="s">
        <v>160</v>
      </c>
      <c r="B13" s="6" t="s">
        <v>71</v>
      </c>
      <c r="C13" s="7">
        <v>24</v>
      </c>
      <c r="D13" s="9">
        <v>1</v>
      </c>
      <c r="E13" s="9">
        <v>4</v>
      </c>
      <c r="F13" s="8" t="s">
        <v>70</v>
      </c>
    </row>
    <row r="14" spans="1:6">
      <c r="A14" s="6" t="s">
        <v>164</v>
      </c>
      <c r="B14" s="6" t="s">
        <v>74</v>
      </c>
      <c r="C14" s="7">
        <v>205</v>
      </c>
      <c r="D14" s="9">
        <v>1</v>
      </c>
      <c r="E14" s="9">
        <v>7</v>
      </c>
      <c r="F14" s="8" t="s">
        <v>73</v>
      </c>
    </row>
    <row r="15" spans="1:6">
      <c r="A15" s="6" t="s">
        <v>164</v>
      </c>
      <c r="B15" s="6" t="s">
        <v>78</v>
      </c>
      <c r="C15" s="7">
        <v>275</v>
      </c>
      <c r="D15" s="9">
        <v>1</v>
      </c>
      <c r="E15" s="9">
        <v>7</v>
      </c>
      <c r="F15" s="8" t="s">
        <v>77</v>
      </c>
    </row>
    <row r="16" spans="1:6">
      <c r="A16" s="6" t="s">
        <v>164</v>
      </c>
      <c r="B16" s="6" t="s">
        <v>81</v>
      </c>
      <c r="C16" s="7">
        <v>150</v>
      </c>
      <c r="D16" s="9">
        <v>1</v>
      </c>
      <c r="E16" s="9">
        <v>7</v>
      </c>
      <c r="F16" s="8" t="s">
        <v>80</v>
      </c>
    </row>
    <row r="17" spans="1:6">
      <c r="A17" s="6" t="s">
        <v>164</v>
      </c>
      <c r="B17" s="6" t="s">
        <v>84</v>
      </c>
      <c r="C17" s="7">
        <v>35</v>
      </c>
      <c r="D17" s="9">
        <v>1</v>
      </c>
      <c r="E17" s="9">
        <v>7</v>
      </c>
      <c r="F17" s="8" t="s">
        <v>83</v>
      </c>
    </row>
    <row r="18" spans="1:6">
      <c r="A18" s="6" t="s">
        <v>164</v>
      </c>
      <c r="B18" s="6" t="s">
        <v>87</v>
      </c>
      <c r="C18" s="7">
        <v>21</v>
      </c>
      <c r="D18" s="9">
        <v>1</v>
      </c>
      <c r="E18" s="9">
        <v>7</v>
      </c>
      <c r="F18" s="8" t="s">
        <v>86</v>
      </c>
    </row>
    <row r="19" spans="1:6">
      <c r="A19" s="6" t="s">
        <v>164</v>
      </c>
      <c r="B19" s="6" t="s">
        <v>90</v>
      </c>
      <c r="C19" s="7">
        <v>7</v>
      </c>
      <c r="D19" s="9">
        <v>1</v>
      </c>
      <c r="E19" s="9">
        <v>7</v>
      </c>
      <c r="F19" s="8" t="s">
        <v>89</v>
      </c>
    </row>
    <row r="20" spans="1:6">
      <c r="A20" s="6" t="s">
        <v>169</v>
      </c>
      <c r="B20" s="6" t="s">
        <v>93</v>
      </c>
      <c r="C20" s="7">
        <v>180</v>
      </c>
      <c r="D20" s="9">
        <v>1</v>
      </c>
      <c r="E20" s="9">
        <v>3</v>
      </c>
      <c r="F20" s="8" t="s">
        <v>92</v>
      </c>
    </row>
    <row r="21" spans="1:6">
      <c r="A21" s="6" t="s">
        <v>169</v>
      </c>
      <c r="B21" s="6" t="s">
        <v>97</v>
      </c>
      <c r="C21" s="7">
        <v>18</v>
      </c>
      <c r="D21" s="9">
        <v>1</v>
      </c>
      <c r="E21" s="9">
        <v>3</v>
      </c>
      <c r="F21" s="8" t="s">
        <v>96</v>
      </c>
    </row>
    <row r="22" spans="1:6">
      <c r="A22" s="6" t="s">
        <v>169</v>
      </c>
      <c r="B22" s="6" t="s">
        <v>100</v>
      </c>
      <c r="C22" s="7">
        <v>78</v>
      </c>
      <c r="D22" s="9">
        <v>1</v>
      </c>
      <c r="E22" s="9">
        <v>3</v>
      </c>
      <c r="F22" s="8" t="s">
        <v>99</v>
      </c>
    </row>
    <row r="23" spans="1:6">
      <c r="A23" s="6" t="s">
        <v>169</v>
      </c>
      <c r="B23" s="6" t="s">
        <v>103</v>
      </c>
      <c r="C23" s="7">
        <v>88</v>
      </c>
      <c r="D23" s="9">
        <v>1</v>
      </c>
      <c r="E23" s="9">
        <v>3</v>
      </c>
      <c r="F23" s="8" t="s">
        <v>102</v>
      </c>
    </row>
    <row r="24" spans="1:6">
      <c r="A24" s="6" t="s">
        <v>169</v>
      </c>
      <c r="B24" s="6" t="s">
        <v>106</v>
      </c>
      <c r="C24" s="7">
        <v>62</v>
      </c>
      <c r="D24" s="9">
        <v>1</v>
      </c>
      <c r="E24" s="9">
        <v>3</v>
      </c>
      <c r="F24" s="8" t="s">
        <v>105</v>
      </c>
    </row>
    <row r="25" spans="1:6">
      <c r="A25" s="6" t="s">
        <v>169</v>
      </c>
      <c r="B25" s="6" t="s">
        <v>109</v>
      </c>
      <c r="C25" s="7">
        <v>125</v>
      </c>
      <c r="D25" s="9">
        <v>1</v>
      </c>
      <c r="E25" s="9">
        <v>3</v>
      </c>
      <c r="F25" s="8" t="s">
        <v>108</v>
      </c>
    </row>
    <row r="26" spans="1:6">
      <c r="A26" s="6" t="s">
        <v>175</v>
      </c>
      <c r="B26" s="6" t="s">
        <v>112</v>
      </c>
      <c r="C26" s="7">
        <v>180</v>
      </c>
      <c r="D26" s="9">
        <v>1</v>
      </c>
      <c r="E26" s="9">
        <v>10</v>
      </c>
      <c r="F26" s="8" t="s">
        <v>111</v>
      </c>
    </row>
    <row r="27" spans="1:6">
      <c r="A27" s="6" t="s">
        <v>175</v>
      </c>
      <c r="B27" s="6" t="s">
        <v>116</v>
      </c>
      <c r="C27" s="7">
        <v>420</v>
      </c>
      <c r="D27" s="9">
        <v>1</v>
      </c>
      <c r="E27" s="9">
        <v>10</v>
      </c>
      <c r="F27" s="8" t="s">
        <v>115</v>
      </c>
    </row>
    <row r="28" spans="1:6">
      <c r="A28" s="6" t="s">
        <v>175</v>
      </c>
      <c r="B28" s="6" t="s">
        <v>119</v>
      </c>
      <c r="C28" s="7">
        <v>590</v>
      </c>
      <c r="D28" s="9">
        <v>1</v>
      </c>
      <c r="E28" s="9">
        <v>10</v>
      </c>
      <c r="F28" s="8" t="s">
        <v>118</v>
      </c>
    </row>
    <row r="29" spans="1:6">
      <c r="A29" s="6" t="s">
        <v>175</v>
      </c>
      <c r="B29" s="6" t="s">
        <v>122</v>
      </c>
      <c r="C29" s="7">
        <v>78</v>
      </c>
      <c r="D29" s="9">
        <v>1</v>
      </c>
      <c r="E29" s="9">
        <v>10</v>
      </c>
      <c r="F29" s="8" t="s">
        <v>121</v>
      </c>
    </row>
    <row r="30" spans="1:6">
      <c r="A30" s="6" t="s">
        <v>175</v>
      </c>
      <c r="B30" s="6" t="s">
        <v>125</v>
      </c>
      <c r="C30" s="7">
        <v>440</v>
      </c>
      <c r="D30" s="9">
        <v>1</v>
      </c>
      <c r="E30" s="9">
        <v>10</v>
      </c>
      <c r="F30" s="8" t="s">
        <v>124</v>
      </c>
    </row>
    <row r="31" spans="1:6">
      <c r="A31" s="6" t="s">
        <v>175</v>
      </c>
      <c r="B31" s="6" t="s">
        <v>128</v>
      </c>
      <c r="C31" s="7">
        <v>105</v>
      </c>
      <c r="D31" s="9">
        <v>1</v>
      </c>
      <c r="E31" s="9">
        <v>10</v>
      </c>
      <c r="F31" s="8" t="s">
        <v>127</v>
      </c>
    </row>
  </sheetData>
  <autoFilter ref="A1:F3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2.7109375" customWidth="1"/>
    <col min="3" max="3" width="22.7109375" customWidth="1"/>
    <col min="4" max="4" width="40.7109375" customWidth="1"/>
    <col min="5" max="5" width="16.7109375" customWidth="1"/>
    <col min="6" max="6" width="44.7109375" customWidth="1"/>
    <col min="7" max="8" width="12.7109375" customWidth="1"/>
  </cols>
  <sheetData>
    <row r="1" spans="1:8" ht="32" customHeight="1">
      <c r="A1" s="4" t="s">
        <v>25</v>
      </c>
      <c r="B1" s="4" t="s">
        <v>144</v>
      </c>
      <c r="C1" s="4" t="s">
        <v>197</v>
      </c>
      <c r="D1" s="4" t="s">
        <v>145</v>
      </c>
      <c r="E1" s="4" t="s">
        <v>146</v>
      </c>
      <c r="F1" s="4" t="s">
        <v>147</v>
      </c>
      <c r="G1" s="4" t="s">
        <v>148</v>
      </c>
      <c r="H1" s="4" t="s">
        <v>149</v>
      </c>
    </row>
    <row r="2" spans="1:8">
      <c r="A2" s="6" t="s">
        <v>198</v>
      </c>
      <c r="B2" s="6" t="s">
        <v>199</v>
      </c>
      <c r="C2" s="6" t="s">
        <v>200</v>
      </c>
      <c r="D2" s="6" t="s">
        <v>201</v>
      </c>
      <c r="E2" s="6" t="s">
        <v>202</v>
      </c>
      <c r="F2" s="6" t="s">
        <v>203</v>
      </c>
      <c r="G2" s="6" t="s">
        <v>157</v>
      </c>
      <c r="H2" s="6" t="s">
        <v>157</v>
      </c>
    </row>
    <row r="3" spans="1:8">
      <c r="A3" s="6" t="s">
        <v>204</v>
      </c>
      <c r="B3" s="6" t="s">
        <v>199</v>
      </c>
      <c r="C3" s="6" t="s">
        <v>200</v>
      </c>
      <c r="D3" s="6" t="s">
        <v>205</v>
      </c>
      <c r="E3" s="6" t="s">
        <v>206</v>
      </c>
      <c r="F3" s="6" t="s">
        <v>207</v>
      </c>
      <c r="G3" s="6" t="s">
        <v>157</v>
      </c>
      <c r="H3" s="6" t="s">
        <v>157</v>
      </c>
    </row>
    <row r="4" spans="1:8">
      <c r="A4" s="6" t="s">
        <v>208</v>
      </c>
      <c r="B4" s="6" t="s">
        <v>199</v>
      </c>
      <c r="C4" s="6" t="s">
        <v>200</v>
      </c>
      <c r="D4" s="6" t="s">
        <v>209</v>
      </c>
      <c r="E4" s="6" t="s">
        <v>210</v>
      </c>
      <c r="F4" s="6" t="s">
        <v>211</v>
      </c>
      <c r="G4" s="6" t="s">
        <v>212</v>
      </c>
      <c r="H4" s="6" t="s">
        <v>157</v>
      </c>
    </row>
    <row r="5" spans="1:8">
      <c r="A5" s="6" t="s">
        <v>213</v>
      </c>
      <c r="B5" s="6" t="s">
        <v>199</v>
      </c>
      <c r="C5" s="6" t="s">
        <v>200</v>
      </c>
      <c r="D5" s="6" t="s">
        <v>214</v>
      </c>
      <c r="E5" s="6" t="s">
        <v>215</v>
      </c>
      <c r="F5" s="6" t="s">
        <v>216</v>
      </c>
      <c r="G5" s="6" t="s">
        <v>212</v>
      </c>
      <c r="H5" s="6" t="s">
        <v>157</v>
      </c>
    </row>
    <row r="6" spans="1:8">
      <c r="A6" s="6" t="s">
        <v>217</v>
      </c>
      <c r="B6" s="6" t="s">
        <v>199</v>
      </c>
      <c r="C6" s="6" t="s">
        <v>200</v>
      </c>
      <c r="D6" s="6" t="s">
        <v>218</v>
      </c>
      <c r="E6" s="6" t="s">
        <v>219</v>
      </c>
      <c r="F6" s="6" t="s">
        <v>220</v>
      </c>
      <c r="G6" s="6" t="s">
        <v>157</v>
      </c>
      <c r="H6" s="6" t="s">
        <v>157</v>
      </c>
    </row>
    <row r="7" spans="1:8">
      <c r="A7" s="6" t="s">
        <v>221</v>
      </c>
      <c r="B7" s="6" t="s">
        <v>199</v>
      </c>
      <c r="C7" s="6" t="s">
        <v>200</v>
      </c>
      <c r="D7" s="6" t="s">
        <v>222</v>
      </c>
      <c r="E7" s="6" t="s">
        <v>223</v>
      </c>
      <c r="F7" s="6" t="s">
        <v>224</v>
      </c>
      <c r="G7" s="6" t="s">
        <v>225</v>
      </c>
      <c r="H7" s="6" t="s">
        <v>157</v>
      </c>
    </row>
    <row r="8" spans="1:8">
      <c r="A8" s="6" t="s">
        <v>226</v>
      </c>
      <c r="B8" s="6" t="s">
        <v>199</v>
      </c>
      <c r="C8" s="6" t="s">
        <v>200</v>
      </c>
      <c r="D8" s="6" t="s">
        <v>227</v>
      </c>
      <c r="E8" s="6" t="s">
        <v>228</v>
      </c>
      <c r="F8" s="6" t="s">
        <v>229</v>
      </c>
      <c r="G8" s="6" t="s">
        <v>225</v>
      </c>
      <c r="H8" s="6" t="s">
        <v>157</v>
      </c>
    </row>
    <row r="9" spans="1:8">
      <c r="A9" s="6" t="s">
        <v>230</v>
      </c>
      <c r="B9" s="6" t="s">
        <v>199</v>
      </c>
      <c r="C9" s="6" t="s">
        <v>200</v>
      </c>
      <c r="D9" s="6" t="s">
        <v>231</v>
      </c>
      <c r="E9" s="6" t="s">
        <v>232</v>
      </c>
      <c r="F9" s="6" t="s">
        <v>233</v>
      </c>
      <c r="G9" s="6" t="s">
        <v>157</v>
      </c>
      <c r="H9" s="6" t="s">
        <v>157</v>
      </c>
    </row>
    <row r="10" spans="1:8">
      <c r="A10" s="6" t="s">
        <v>234</v>
      </c>
      <c r="B10" s="6" t="s">
        <v>199</v>
      </c>
      <c r="C10" s="6" t="s">
        <v>200</v>
      </c>
      <c r="D10" s="6" t="s">
        <v>235</v>
      </c>
      <c r="E10" s="6" t="s">
        <v>236</v>
      </c>
      <c r="F10" s="6" t="s">
        <v>237</v>
      </c>
      <c r="G10" s="6" t="s">
        <v>157</v>
      </c>
      <c r="H10" s="6" t="s">
        <v>157</v>
      </c>
    </row>
    <row r="11" spans="1:8">
      <c r="A11" s="6" t="s">
        <v>238</v>
      </c>
      <c r="B11" s="6" t="s">
        <v>199</v>
      </c>
      <c r="C11" s="6" t="s">
        <v>200</v>
      </c>
      <c r="D11" s="6" t="s">
        <v>239</v>
      </c>
      <c r="E11" s="6" t="s">
        <v>240</v>
      </c>
      <c r="F11" s="6" t="s">
        <v>241</v>
      </c>
      <c r="G11" s="6" t="s">
        <v>212</v>
      </c>
      <c r="H11" s="6" t="s">
        <v>157</v>
      </c>
    </row>
    <row r="12" spans="1:8">
      <c r="A12" s="6" t="s">
        <v>242</v>
      </c>
      <c r="B12" s="6" t="s">
        <v>199</v>
      </c>
      <c r="C12" s="6" t="s">
        <v>200</v>
      </c>
      <c r="D12" s="6" t="s">
        <v>243</v>
      </c>
      <c r="E12" s="6" t="s">
        <v>244</v>
      </c>
      <c r="F12" s="6" t="s">
        <v>245</v>
      </c>
      <c r="G12" s="6" t="s">
        <v>225</v>
      </c>
      <c r="H12" s="6" t="s">
        <v>157</v>
      </c>
    </row>
    <row r="13" spans="1:8">
      <c r="A13" s="6" t="s">
        <v>246</v>
      </c>
      <c r="B13" s="6" t="s">
        <v>199</v>
      </c>
      <c r="C13" s="6" t="s">
        <v>200</v>
      </c>
      <c r="D13" s="6" t="s">
        <v>247</v>
      </c>
      <c r="E13" s="6" t="s">
        <v>248</v>
      </c>
      <c r="F13" s="6" t="s">
        <v>249</v>
      </c>
      <c r="G13" s="6" t="s">
        <v>157</v>
      </c>
      <c r="H13" s="6" t="s">
        <v>157</v>
      </c>
    </row>
    <row r="14" spans="1:8">
      <c r="A14" s="6" t="s">
        <v>250</v>
      </c>
      <c r="B14" s="6" t="s">
        <v>199</v>
      </c>
      <c r="C14" s="6" t="s">
        <v>251</v>
      </c>
      <c r="D14" s="6" t="s">
        <v>252</v>
      </c>
      <c r="E14" s="6" t="s">
        <v>253</v>
      </c>
      <c r="F14" s="6" t="s">
        <v>254</v>
      </c>
      <c r="G14" s="6" t="s">
        <v>212</v>
      </c>
      <c r="H14" s="6" t="s">
        <v>157</v>
      </c>
    </row>
    <row r="15" spans="1:8">
      <c r="A15" s="6" t="s">
        <v>255</v>
      </c>
      <c r="B15" s="6" t="s">
        <v>199</v>
      </c>
      <c r="C15" s="6" t="s">
        <v>251</v>
      </c>
      <c r="D15" s="6" t="s">
        <v>256</v>
      </c>
      <c r="E15" s="6" t="s">
        <v>257</v>
      </c>
      <c r="F15" s="6" t="s">
        <v>258</v>
      </c>
      <c r="G15" s="6" t="s">
        <v>157</v>
      </c>
      <c r="H15" s="6" t="s">
        <v>157</v>
      </c>
    </row>
    <row r="16" spans="1:8">
      <c r="A16" s="6" t="s">
        <v>259</v>
      </c>
      <c r="B16" s="6" t="s">
        <v>199</v>
      </c>
      <c r="C16" s="6" t="s">
        <v>251</v>
      </c>
      <c r="D16" s="6" t="s">
        <v>260</v>
      </c>
      <c r="E16" s="6" t="s">
        <v>261</v>
      </c>
      <c r="F16" s="6" t="s">
        <v>262</v>
      </c>
      <c r="G16" s="6" t="s">
        <v>212</v>
      </c>
      <c r="H16" s="6" t="s">
        <v>157</v>
      </c>
    </row>
    <row r="17" spans="1:8">
      <c r="A17" s="6" t="s">
        <v>263</v>
      </c>
      <c r="B17" s="6" t="s">
        <v>199</v>
      </c>
      <c r="C17" s="6" t="s">
        <v>251</v>
      </c>
      <c r="D17" s="6" t="s">
        <v>264</v>
      </c>
      <c r="E17" s="6" t="s">
        <v>265</v>
      </c>
      <c r="F17" s="6" t="s">
        <v>266</v>
      </c>
      <c r="G17" s="6" t="s">
        <v>157</v>
      </c>
      <c r="H17" s="6" t="s">
        <v>157</v>
      </c>
    </row>
    <row r="18" spans="1:8">
      <c r="A18" s="6" t="s">
        <v>267</v>
      </c>
      <c r="B18" s="6" t="s">
        <v>199</v>
      </c>
      <c r="C18" s="6" t="s">
        <v>251</v>
      </c>
      <c r="D18" s="6" t="s">
        <v>268</v>
      </c>
      <c r="E18" s="6" t="s">
        <v>269</v>
      </c>
      <c r="F18" s="6" t="s">
        <v>270</v>
      </c>
      <c r="G18" s="6" t="s">
        <v>225</v>
      </c>
      <c r="H18" s="6" t="s">
        <v>157</v>
      </c>
    </row>
    <row r="19" spans="1:8">
      <c r="A19" s="6" t="s">
        <v>271</v>
      </c>
      <c r="B19" s="6" t="s">
        <v>199</v>
      </c>
      <c r="C19" s="6" t="s">
        <v>251</v>
      </c>
      <c r="D19" s="6" t="s">
        <v>272</v>
      </c>
      <c r="E19" s="6" t="s">
        <v>273</v>
      </c>
      <c r="F19" s="6" t="s">
        <v>274</v>
      </c>
      <c r="G19" s="6" t="s">
        <v>157</v>
      </c>
      <c r="H19" s="6" t="s">
        <v>157</v>
      </c>
    </row>
    <row r="20" spans="1:8">
      <c r="A20" s="6" t="s">
        <v>275</v>
      </c>
      <c r="B20" s="6" t="s">
        <v>199</v>
      </c>
      <c r="C20" s="6" t="s">
        <v>251</v>
      </c>
      <c r="D20" s="6" t="s">
        <v>276</v>
      </c>
      <c r="E20" s="6" t="s">
        <v>277</v>
      </c>
      <c r="F20" s="6" t="s">
        <v>278</v>
      </c>
      <c r="G20" s="6" t="s">
        <v>212</v>
      </c>
      <c r="H20" s="6" t="s">
        <v>157</v>
      </c>
    </row>
    <row r="21" spans="1:8">
      <c r="A21" s="6" t="s">
        <v>279</v>
      </c>
      <c r="B21" s="6" t="s">
        <v>199</v>
      </c>
      <c r="C21" s="6" t="s">
        <v>251</v>
      </c>
      <c r="D21" s="6" t="s">
        <v>280</v>
      </c>
      <c r="E21" s="6" t="s">
        <v>281</v>
      </c>
      <c r="F21" s="6" t="s">
        <v>282</v>
      </c>
      <c r="G21" s="6" t="s">
        <v>225</v>
      </c>
      <c r="H21" s="6" t="s">
        <v>157</v>
      </c>
    </row>
    <row r="22" spans="1:8">
      <c r="A22" s="6" t="s">
        <v>283</v>
      </c>
      <c r="B22" s="6" t="s">
        <v>199</v>
      </c>
      <c r="C22" s="6" t="s">
        <v>251</v>
      </c>
      <c r="D22" s="6" t="s">
        <v>284</v>
      </c>
      <c r="E22" s="6" t="s">
        <v>285</v>
      </c>
      <c r="F22" s="6" t="s">
        <v>286</v>
      </c>
      <c r="G22" s="6" t="s">
        <v>157</v>
      </c>
      <c r="H22" s="6" t="s">
        <v>157</v>
      </c>
    </row>
    <row r="23" spans="1:8">
      <c r="A23" s="6" t="s">
        <v>287</v>
      </c>
      <c r="B23" s="6" t="s">
        <v>199</v>
      </c>
      <c r="C23" s="6" t="s">
        <v>251</v>
      </c>
      <c r="D23" s="6" t="s">
        <v>288</v>
      </c>
      <c r="E23" s="6" t="s">
        <v>289</v>
      </c>
      <c r="F23" s="6" t="s">
        <v>290</v>
      </c>
      <c r="G23" s="6" t="s">
        <v>212</v>
      </c>
      <c r="H23" s="6" t="s">
        <v>157</v>
      </c>
    </row>
    <row r="24" spans="1:8">
      <c r="A24" s="6" t="s">
        <v>291</v>
      </c>
      <c r="B24" s="6" t="s">
        <v>199</v>
      </c>
      <c r="C24" s="6" t="s">
        <v>251</v>
      </c>
      <c r="D24" s="6" t="s">
        <v>292</v>
      </c>
      <c r="E24" s="6" t="s">
        <v>293</v>
      </c>
      <c r="F24" s="6" t="s">
        <v>294</v>
      </c>
      <c r="G24" s="6" t="s">
        <v>225</v>
      </c>
      <c r="H24" s="6" t="s">
        <v>157</v>
      </c>
    </row>
    <row r="25" spans="1:8">
      <c r="A25" s="6" t="s">
        <v>295</v>
      </c>
      <c r="B25" s="6" t="s">
        <v>37</v>
      </c>
      <c r="C25" s="6" t="s">
        <v>296</v>
      </c>
      <c r="D25" s="6" t="s">
        <v>297</v>
      </c>
      <c r="E25" s="6" t="s">
        <v>298</v>
      </c>
      <c r="F25" s="6" t="s">
        <v>299</v>
      </c>
      <c r="G25" s="6" t="s">
        <v>157</v>
      </c>
      <c r="H25" s="6" t="s">
        <v>157</v>
      </c>
    </row>
    <row r="26" spans="1:8">
      <c r="A26" s="6" t="s">
        <v>300</v>
      </c>
      <c r="B26" s="6" t="s">
        <v>37</v>
      </c>
      <c r="C26" s="6" t="s">
        <v>296</v>
      </c>
      <c r="D26" s="6" t="s">
        <v>301</v>
      </c>
      <c r="E26" s="6" t="s">
        <v>302</v>
      </c>
      <c r="F26" s="6" t="s">
        <v>303</v>
      </c>
      <c r="G26" s="6" t="s">
        <v>157</v>
      </c>
      <c r="H26" s="6" t="s">
        <v>157</v>
      </c>
    </row>
    <row r="27" spans="1:8">
      <c r="A27" s="6" t="s">
        <v>304</v>
      </c>
      <c r="B27" s="6" t="s">
        <v>37</v>
      </c>
      <c r="C27" s="6" t="s">
        <v>296</v>
      </c>
      <c r="D27" s="6" t="s">
        <v>305</v>
      </c>
      <c r="E27" s="6" t="s">
        <v>306</v>
      </c>
      <c r="F27" s="6" t="s">
        <v>307</v>
      </c>
      <c r="G27" s="6" t="s">
        <v>225</v>
      </c>
      <c r="H27" s="6" t="s">
        <v>157</v>
      </c>
    </row>
    <row r="28" spans="1:8">
      <c r="A28" s="6" t="s">
        <v>308</v>
      </c>
      <c r="B28" s="6" t="s">
        <v>37</v>
      </c>
      <c r="C28" s="6" t="s">
        <v>296</v>
      </c>
      <c r="D28" s="6" t="s">
        <v>309</v>
      </c>
      <c r="E28" s="6" t="s">
        <v>310</v>
      </c>
      <c r="F28" s="6" t="s">
        <v>311</v>
      </c>
      <c r="G28" s="6" t="s">
        <v>157</v>
      </c>
      <c r="H28" s="6" t="s">
        <v>157</v>
      </c>
    </row>
    <row r="29" spans="1:8">
      <c r="A29" s="6" t="s">
        <v>312</v>
      </c>
      <c r="B29" s="6" t="s">
        <v>37</v>
      </c>
      <c r="C29" s="6" t="s">
        <v>296</v>
      </c>
      <c r="D29" s="6" t="s">
        <v>313</v>
      </c>
      <c r="E29" s="6" t="s">
        <v>314</v>
      </c>
      <c r="F29" s="6" t="s">
        <v>315</v>
      </c>
      <c r="G29" s="6" t="s">
        <v>157</v>
      </c>
      <c r="H29" s="6" t="s">
        <v>157</v>
      </c>
    </row>
    <row r="30" spans="1:8">
      <c r="A30" s="6" t="s">
        <v>316</v>
      </c>
      <c r="B30" s="6" t="s">
        <v>37</v>
      </c>
      <c r="C30" s="6" t="s">
        <v>296</v>
      </c>
      <c r="D30" s="6" t="s">
        <v>317</v>
      </c>
      <c r="E30" s="6" t="s">
        <v>318</v>
      </c>
      <c r="F30" s="6" t="s">
        <v>319</v>
      </c>
      <c r="G30" s="6" t="s">
        <v>212</v>
      </c>
      <c r="H30" s="6" t="s">
        <v>157</v>
      </c>
    </row>
    <row r="31" spans="1:8">
      <c r="A31" s="6" t="s">
        <v>320</v>
      </c>
      <c r="B31" s="6" t="s">
        <v>37</v>
      </c>
      <c r="C31" s="6" t="s">
        <v>296</v>
      </c>
      <c r="D31" s="6" t="s">
        <v>321</v>
      </c>
      <c r="E31" s="6" t="s">
        <v>322</v>
      </c>
      <c r="F31" s="6" t="s">
        <v>323</v>
      </c>
      <c r="G31" s="6" t="s">
        <v>225</v>
      </c>
      <c r="H31" s="6" t="s">
        <v>157</v>
      </c>
    </row>
    <row r="32" spans="1:8">
      <c r="A32" s="6" t="s">
        <v>324</v>
      </c>
      <c r="B32" s="6" t="s">
        <v>199</v>
      </c>
      <c r="C32" s="6" t="s">
        <v>325</v>
      </c>
      <c r="D32" s="6" t="s">
        <v>326</v>
      </c>
      <c r="E32" s="6" t="s">
        <v>327</v>
      </c>
      <c r="F32" s="6" t="s">
        <v>328</v>
      </c>
      <c r="G32" s="6" t="s">
        <v>157</v>
      </c>
      <c r="H32" s="6" t="s">
        <v>157</v>
      </c>
    </row>
    <row r="33" spans="1:8">
      <c r="A33" s="6" t="s">
        <v>329</v>
      </c>
      <c r="B33" s="6" t="s">
        <v>199</v>
      </c>
      <c r="C33" s="6" t="s">
        <v>325</v>
      </c>
      <c r="D33" s="6" t="s">
        <v>330</v>
      </c>
      <c r="E33" s="6" t="s">
        <v>331</v>
      </c>
      <c r="F33" s="6" t="s">
        <v>332</v>
      </c>
      <c r="G33" s="6" t="s">
        <v>157</v>
      </c>
      <c r="H33" s="6" t="s">
        <v>157</v>
      </c>
    </row>
    <row r="34" spans="1:8">
      <c r="A34" s="6" t="s">
        <v>333</v>
      </c>
      <c r="B34" s="6" t="s">
        <v>199</v>
      </c>
      <c r="C34" s="6" t="s">
        <v>325</v>
      </c>
      <c r="D34" s="6" t="s">
        <v>334</v>
      </c>
      <c r="E34" s="6" t="s">
        <v>335</v>
      </c>
      <c r="F34" s="6" t="s">
        <v>336</v>
      </c>
      <c r="G34" s="6" t="s">
        <v>212</v>
      </c>
      <c r="H34" s="6" t="s">
        <v>157</v>
      </c>
    </row>
    <row r="35" spans="1:8">
      <c r="A35" s="6" t="s">
        <v>337</v>
      </c>
      <c r="B35" s="6" t="s">
        <v>199</v>
      </c>
      <c r="C35" s="6" t="s">
        <v>325</v>
      </c>
      <c r="D35" s="6" t="s">
        <v>338</v>
      </c>
      <c r="E35" s="6" t="s">
        <v>339</v>
      </c>
      <c r="F35" s="6" t="s">
        <v>340</v>
      </c>
      <c r="G35" s="6" t="s">
        <v>157</v>
      </c>
      <c r="H35" s="6" t="s">
        <v>157</v>
      </c>
    </row>
    <row r="36" spans="1:8">
      <c r="A36" s="6" t="s">
        <v>341</v>
      </c>
      <c r="B36" s="6" t="s">
        <v>199</v>
      </c>
      <c r="C36" s="6" t="s">
        <v>325</v>
      </c>
      <c r="D36" s="6" t="s">
        <v>342</v>
      </c>
      <c r="E36" s="6" t="s">
        <v>343</v>
      </c>
      <c r="F36" s="6" t="s">
        <v>344</v>
      </c>
      <c r="G36" s="6" t="s">
        <v>157</v>
      </c>
      <c r="H36" s="6" t="s">
        <v>157</v>
      </c>
    </row>
  </sheetData>
  <autoFilter ref="A1:H3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79B00"/>
  </sheetPr>
  <dimension ref="A1:H25"/>
  <sheetViews>
    <sheetView workbookViewId="0"/>
  </sheetViews>
  <sheetFormatPr defaultRowHeight="15"/>
  <cols>
    <col min="1" max="1" width="30.7109375" customWidth="1"/>
    <col min="2" max="2" width="40.7109375" customWidth="1"/>
    <col min="3" max="3" width="26.7109375" customWidth="1"/>
    <col min="4" max="4" width="30.7109375" customWidth="1"/>
    <col min="5" max="5" width="22.7109375" customWidth="1"/>
    <col min="6" max="6" width="30.7109375" customWidth="1"/>
    <col min="7" max="7" width="12.7109375" customWidth="1"/>
    <col min="8" max="8" width="10.7109375" customWidth="1"/>
  </cols>
  <sheetData>
    <row r="1" spans="1:8">
      <c r="A1" s="1" t="s">
        <v>345</v>
      </c>
    </row>
    <row r="2" spans="1:8">
      <c r="A2" s="2" t="s">
        <v>346</v>
      </c>
    </row>
    <row r="4" spans="1:8">
      <c r="A4" s="12" t="s">
        <v>347</v>
      </c>
    </row>
    <row r="5" spans="1:8">
      <c r="A5" s="4" t="s">
        <v>25</v>
      </c>
      <c r="B5" s="4" t="s">
        <v>348</v>
      </c>
      <c r="C5" s="4" t="s">
        <v>146</v>
      </c>
      <c r="D5" s="4" t="s">
        <v>349</v>
      </c>
      <c r="E5" s="4" t="s">
        <v>350</v>
      </c>
      <c r="F5" s="4" t="s">
        <v>351</v>
      </c>
      <c r="G5" s="4" t="s">
        <v>352</v>
      </c>
    </row>
    <row r="6" spans="1:8">
      <c r="A6" s="6" t="s">
        <v>353</v>
      </c>
      <c r="B6" s="6" t="s">
        <v>354</v>
      </c>
      <c r="C6" s="6" t="s">
        <v>355</v>
      </c>
      <c r="D6" s="6" t="s">
        <v>356</v>
      </c>
      <c r="E6" s="6" t="s">
        <v>357</v>
      </c>
      <c r="F6" s="6" t="s">
        <v>358</v>
      </c>
      <c r="G6" s="6">
        <v>6</v>
      </c>
    </row>
    <row r="8" spans="1:8">
      <c r="A8" s="12" t="s">
        <v>359</v>
      </c>
    </row>
    <row r="9" spans="1:8">
      <c r="A9" s="4" t="s">
        <v>24</v>
      </c>
      <c r="B9" s="4" t="s">
        <v>25</v>
      </c>
      <c r="C9" s="4" t="s">
        <v>360</v>
      </c>
      <c r="D9" s="4" t="s">
        <v>27</v>
      </c>
      <c r="E9" s="4" t="s">
        <v>28</v>
      </c>
      <c r="F9" s="4" t="s">
        <v>361</v>
      </c>
      <c r="G9" s="4" t="s">
        <v>362</v>
      </c>
      <c r="H9" s="4" t="s">
        <v>363</v>
      </c>
    </row>
    <row r="10" spans="1:8">
      <c r="A10" s="6" t="s">
        <v>364</v>
      </c>
      <c r="B10" s="6" t="s">
        <v>365</v>
      </c>
      <c r="C10" s="6" t="s">
        <v>366</v>
      </c>
      <c r="D10" s="7">
        <v>450</v>
      </c>
      <c r="E10" s="7">
        <v>290</v>
      </c>
      <c r="F10" s="6">
        <v>6</v>
      </c>
      <c r="G10" s="6">
        <v>2</v>
      </c>
      <c r="H10" s="6">
        <v>8</v>
      </c>
    </row>
    <row r="11" spans="1:8">
      <c r="A11" s="6" t="s">
        <v>367</v>
      </c>
      <c r="B11" s="6" t="s">
        <v>368</v>
      </c>
      <c r="C11" s="6" t="s">
        <v>366</v>
      </c>
      <c r="D11" s="7">
        <v>220</v>
      </c>
      <c r="E11" s="7">
        <v>135</v>
      </c>
      <c r="F11" s="6">
        <v>8</v>
      </c>
      <c r="G11" s="6">
        <v>3</v>
      </c>
      <c r="H11" s="6">
        <v>12</v>
      </c>
    </row>
    <row r="12" spans="1:8">
      <c r="A12" s="6" t="s">
        <v>369</v>
      </c>
      <c r="B12" s="6" t="s">
        <v>370</v>
      </c>
      <c r="C12" s="6" t="s">
        <v>366</v>
      </c>
      <c r="D12" s="7">
        <v>95</v>
      </c>
      <c r="E12" s="7">
        <v>48</v>
      </c>
      <c r="F12" s="6">
        <v>20</v>
      </c>
      <c r="G12" s="6">
        <v>6</v>
      </c>
      <c r="H12" s="6">
        <v>24</v>
      </c>
    </row>
    <row r="13" spans="1:8">
      <c r="A13" s="6" t="s">
        <v>371</v>
      </c>
      <c r="B13" s="6" t="s">
        <v>372</v>
      </c>
      <c r="C13" s="6" t="s">
        <v>366</v>
      </c>
      <c r="D13" s="7">
        <v>120</v>
      </c>
      <c r="E13" s="7">
        <v>68</v>
      </c>
      <c r="F13" s="6">
        <v>15</v>
      </c>
      <c r="G13" s="6">
        <v>5</v>
      </c>
      <c r="H13" s="6">
        <v>20</v>
      </c>
    </row>
    <row r="14" spans="1:8">
      <c r="A14" s="6" t="s">
        <v>373</v>
      </c>
      <c r="B14" s="6" t="s">
        <v>374</v>
      </c>
      <c r="C14" s="6" t="s">
        <v>366</v>
      </c>
      <c r="D14" s="7">
        <v>140</v>
      </c>
      <c r="E14" s="7">
        <v>82</v>
      </c>
      <c r="F14" s="6">
        <v>12</v>
      </c>
      <c r="G14" s="6">
        <v>4</v>
      </c>
      <c r="H14" s="6">
        <v>16</v>
      </c>
    </row>
    <row r="15" spans="1:8">
      <c r="A15" s="6" t="s">
        <v>375</v>
      </c>
      <c r="B15" s="6" t="s">
        <v>376</v>
      </c>
      <c r="C15" s="6" t="s">
        <v>366</v>
      </c>
      <c r="D15" s="7">
        <v>185</v>
      </c>
      <c r="E15" s="7">
        <v>112</v>
      </c>
      <c r="F15" s="6">
        <v>10</v>
      </c>
      <c r="G15" s="6">
        <v>4</v>
      </c>
      <c r="H15" s="6">
        <v>15</v>
      </c>
    </row>
    <row r="17" spans="1:7">
      <c r="A17" s="12" t="s">
        <v>377</v>
      </c>
    </row>
    <row r="18" spans="1:7">
      <c r="A18" s="4" t="s">
        <v>25</v>
      </c>
      <c r="B18" s="4" t="s">
        <v>378</v>
      </c>
      <c r="C18" s="4" t="s">
        <v>379</v>
      </c>
      <c r="D18" s="4" t="s">
        <v>348</v>
      </c>
      <c r="E18" s="4" t="s">
        <v>146</v>
      </c>
      <c r="F18" s="4" t="s">
        <v>147</v>
      </c>
      <c r="G18" s="4" t="s">
        <v>148</v>
      </c>
    </row>
    <row r="19" spans="1:7">
      <c r="A19" s="6" t="s">
        <v>380</v>
      </c>
      <c r="B19" s="6" t="s">
        <v>381</v>
      </c>
      <c r="C19" s="6" t="s">
        <v>200</v>
      </c>
      <c r="D19" s="6" t="s">
        <v>382</v>
      </c>
      <c r="E19" s="6" t="s">
        <v>383</v>
      </c>
      <c r="F19" s="6" t="s">
        <v>384</v>
      </c>
      <c r="G19" s="6" t="s">
        <v>157</v>
      </c>
    </row>
    <row r="20" spans="1:7">
      <c r="A20" s="6" t="s">
        <v>385</v>
      </c>
      <c r="B20" s="6" t="s">
        <v>381</v>
      </c>
      <c r="C20" s="6" t="s">
        <v>251</v>
      </c>
      <c r="D20" s="6" t="s">
        <v>386</v>
      </c>
      <c r="E20" s="6" t="s">
        <v>387</v>
      </c>
      <c r="F20" s="6" t="s">
        <v>388</v>
      </c>
      <c r="G20" s="6" t="s">
        <v>157</v>
      </c>
    </row>
    <row r="21" spans="1:7">
      <c r="A21" s="6" t="s">
        <v>389</v>
      </c>
      <c r="B21" s="6" t="s">
        <v>390</v>
      </c>
      <c r="C21" s="6" t="s">
        <v>296</v>
      </c>
      <c r="D21" s="6" t="s">
        <v>391</v>
      </c>
      <c r="E21" s="6" t="s">
        <v>392</v>
      </c>
      <c r="F21" s="6" t="s">
        <v>393</v>
      </c>
      <c r="G21" s="6" t="s">
        <v>212</v>
      </c>
    </row>
    <row r="22" spans="1:7">
      <c r="A22" s="6" t="s">
        <v>394</v>
      </c>
      <c r="B22" s="6" t="s">
        <v>390</v>
      </c>
      <c r="C22" s="6" t="s">
        <v>296</v>
      </c>
      <c r="D22" s="6" t="s">
        <v>395</v>
      </c>
      <c r="E22" s="6" t="s">
        <v>396</v>
      </c>
      <c r="F22" s="6" t="s">
        <v>397</v>
      </c>
      <c r="G22" s="6" t="s">
        <v>157</v>
      </c>
    </row>
    <row r="23" spans="1:7">
      <c r="A23" s="6" t="s">
        <v>398</v>
      </c>
      <c r="B23" s="6" t="s">
        <v>381</v>
      </c>
      <c r="C23" s="6" t="s">
        <v>325</v>
      </c>
      <c r="D23" s="6" t="s">
        <v>399</v>
      </c>
      <c r="E23" s="6" t="s">
        <v>400</v>
      </c>
      <c r="F23" s="6" t="s">
        <v>401</v>
      </c>
      <c r="G23" s="6" t="s">
        <v>225</v>
      </c>
    </row>
    <row r="25" spans="1:7">
      <c r="A25" s="3" t="s">
        <v>402</v>
      </c>
      <c r="D25" s="11">
        <v>6904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0.7109375" customWidth="1"/>
    <col min="3" max="3" width="44.7109375" customWidth="1"/>
    <col min="4" max="4" width="90.7109375" customWidth="1"/>
  </cols>
  <sheetData>
    <row r="1" spans="1:4" ht="32" customHeight="1">
      <c r="A1" s="4" t="s">
        <v>403</v>
      </c>
      <c r="B1" s="4" t="s">
        <v>404</v>
      </c>
      <c r="C1" s="4" t="s">
        <v>405</v>
      </c>
      <c r="D1" s="4" t="s">
        <v>406</v>
      </c>
    </row>
    <row r="2" spans="1:4">
      <c r="A2" s="6" t="s">
        <v>407</v>
      </c>
      <c r="B2" s="6" t="s">
        <v>24</v>
      </c>
      <c r="C2" s="6" t="s">
        <v>408</v>
      </c>
      <c r="D2" s="6" t="s">
        <v>409</v>
      </c>
    </row>
    <row r="3" spans="1:4">
      <c r="A3" s="6" t="s">
        <v>407</v>
      </c>
      <c r="B3" s="6" t="s">
        <v>26</v>
      </c>
      <c r="C3" s="6" t="s">
        <v>410</v>
      </c>
      <c r="D3" s="6" t="s">
        <v>411</v>
      </c>
    </row>
    <row r="4" spans="1:4">
      <c r="A4" s="6" t="s">
        <v>407</v>
      </c>
      <c r="B4" s="6" t="s">
        <v>412</v>
      </c>
      <c r="C4" s="6" t="s">
        <v>413</v>
      </c>
      <c r="D4" s="6" t="s">
        <v>414</v>
      </c>
    </row>
    <row r="5" spans="1:4">
      <c r="A5" s="6" t="s">
        <v>407</v>
      </c>
      <c r="B5" s="6" t="s">
        <v>29</v>
      </c>
      <c r="C5" s="6" t="s">
        <v>415</v>
      </c>
      <c r="D5" s="6" t="s">
        <v>416</v>
      </c>
    </row>
    <row r="6" spans="1:4">
      <c r="A6" s="6" t="s">
        <v>407</v>
      </c>
      <c r="B6" s="6" t="s">
        <v>417</v>
      </c>
      <c r="C6" s="6" t="s">
        <v>418</v>
      </c>
      <c r="D6" s="6"/>
    </row>
    <row r="7" spans="1:4">
      <c r="A7" s="6" t="s">
        <v>407</v>
      </c>
      <c r="B7" s="6" t="s">
        <v>32</v>
      </c>
      <c r="C7" s="6" t="s">
        <v>419</v>
      </c>
      <c r="D7" s="6" t="s">
        <v>420</v>
      </c>
    </row>
    <row r="8" spans="1:4">
      <c r="A8" s="6" t="s">
        <v>421</v>
      </c>
      <c r="B8" s="6" t="s">
        <v>422</v>
      </c>
      <c r="C8" s="6" t="s">
        <v>423</v>
      </c>
      <c r="D8" s="6" t="s">
        <v>424</v>
      </c>
    </row>
    <row r="9" spans="1:4">
      <c r="A9" s="6" t="s">
        <v>425</v>
      </c>
      <c r="B9" s="6" t="s">
        <v>426</v>
      </c>
      <c r="C9" s="6" t="s">
        <v>427</v>
      </c>
      <c r="D9" s="6" t="s">
        <v>428</v>
      </c>
    </row>
    <row r="10" spans="1:4">
      <c r="A10" s="6" t="s">
        <v>429</v>
      </c>
      <c r="B10" s="6" t="s">
        <v>150</v>
      </c>
      <c r="C10" s="6" t="s">
        <v>430</v>
      </c>
      <c r="D10" s="6" t="s">
        <v>431</v>
      </c>
    </row>
    <row r="11" spans="1:4">
      <c r="A11" s="6" t="s">
        <v>432</v>
      </c>
      <c r="B11" s="6" t="s">
        <v>181</v>
      </c>
      <c r="C11" s="6" t="s">
        <v>433</v>
      </c>
      <c r="D11" s="6" t="s">
        <v>434</v>
      </c>
    </row>
    <row r="12" spans="1:4">
      <c r="A12" s="6" t="s">
        <v>435</v>
      </c>
      <c r="B12" s="6" t="s">
        <v>436</v>
      </c>
      <c r="C12" s="6" t="s">
        <v>437</v>
      </c>
      <c r="D12" s="6" t="s">
        <v>438</v>
      </c>
    </row>
    <row r="13" spans="1:4">
      <c r="A13" s="6" t="s">
        <v>439</v>
      </c>
      <c r="B13" s="6" t="s">
        <v>197</v>
      </c>
      <c r="C13" s="6" t="s">
        <v>440</v>
      </c>
      <c r="D13" s="6" t="s">
        <v>441</v>
      </c>
    </row>
    <row r="14" spans="1:4">
      <c r="A14" s="6" t="s">
        <v>439</v>
      </c>
      <c r="B14" s="6" t="s">
        <v>144</v>
      </c>
      <c r="C14" s="6" t="s">
        <v>442</v>
      </c>
      <c r="D14" s="6" t="s">
        <v>443</v>
      </c>
    </row>
  </sheetData>
  <autoFilter ref="A1:D1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46.7109375" customWidth="1"/>
    <col min="2" max="4" width="16.7109375" customWidth="1"/>
  </cols>
  <sheetData>
    <row r="1" spans="1:4">
      <c r="A1" s="1" t="s">
        <v>444</v>
      </c>
    </row>
    <row r="3" spans="1:4">
      <c r="A3" s="4" t="s">
        <v>445</v>
      </c>
      <c r="B3" s="4" t="s">
        <v>446</v>
      </c>
      <c r="C3" s="4" t="s">
        <v>18</v>
      </c>
      <c r="D3" s="4" t="s">
        <v>137</v>
      </c>
    </row>
    <row r="4" spans="1:4">
      <c r="A4" s="9" t="s">
        <v>447</v>
      </c>
      <c r="B4" s="9">
        <v>30</v>
      </c>
      <c r="C4" s="9">
        <v>6</v>
      </c>
      <c r="D4" s="9">
        <f>B4+C4</f>
        <v>36</v>
      </c>
    </row>
    <row r="5" spans="1:4">
      <c r="A5" s="9" t="s">
        <v>448</v>
      </c>
      <c r="B5" s="9">
        <v>5</v>
      </c>
      <c r="C5" s="9">
        <v>1</v>
      </c>
      <c r="D5" s="9">
        <f>B5+C5</f>
        <v>6</v>
      </c>
    </row>
    <row r="6" spans="1:4">
      <c r="A6" s="9" t="s">
        <v>449</v>
      </c>
      <c r="B6" s="9">
        <v>35</v>
      </c>
      <c r="C6" s="9">
        <v>5</v>
      </c>
      <c r="D6" s="9">
        <f>B6+C6</f>
        <v>40</v>
      </c>
    </row>
    <row r="7" spans="1:4">
      <c r="A7" s="9" t="s">
        <v>450</v>
      </c>
      <c r="B7" s="9">
        <v>12</v>
      </c>
      <c r="C7" s="9">
        <v>1</v>
      </c>
      <c r="D7" s="9">
        <f>B7+C7</f>
        <v>13</v>
      </c>
    </row>
    <row r="8" spans="1:4">
      <c r="A8" s="9" t="s">
        <v>451</v>
      </c>
      <c r="B8" s="9">
        <v>11</v>
      </c>
      <c r="C8" s="9">
        <v>1</v>
      </c>
      <c r="D8" s="9">
        <f>B8+C8</f>
        <v>12</v>
      </c>
    </row>
    <row r="9" spans="1:4">
      <c r="A9" s="9" t="s">
        <v>452</v>
      </c>
      <c r="B9" s="9">
        <v>7</v>
      </c>
      <c r="C9" s="9">
        <v>2</v>
      </c>
      <c r="D9" s="9">
        <f>B9+C9</f>
        <v>9</v>
      </c>
    </row>
    <row r="10" spans="1:4">
      <c r="A10" s="9" t="s">
        <v>453</v>
      </c>
      <c r="B10" s="9">
        <v>5</v>
      </c>
      <c r="C10" s="9">
        <v>1</v>
      </c>
      <c r="D10" s="9">
        <f>B10+C10</f>
        <v>6</v>
      </c>
    </row>
    <row r="11" spans="1:4">
      <c r="A11" s="11" t="s">
        <v>454</v>
      </c>
      <c r="B11" s="11">
        <v>38096</v>
      </c>
      <c r="C11" s="11">
        <v>6904</v>
      </c>
      <c r="D11" s="11">
        <f>B11+C11</f>
        <v>45000.0</v>
      </c>
    </row>
    <row r="13" spans="1:4">
      <c r="A13" s="3" t="s">
        <v>455</v>
      </c>
    </row>
    <row r="15" spans="1:4">
      <c r="A15" s="3" t="s">
        <v>456</v>
      </c>
    </row>
    <row r="16" spans="1:4">
      <c r="A16" s="9" t="s">
        <v>457</v>
      </c>
      <c r="B16" s="9" t="s">
        <v>458</v>
      </c>
      <c r="C16" s="9" t="s">
        <v>459</v>
      </c>
      <c r="D16" s="9" t="s">
        <v>460</v>
      </c>
    </row>
    <row r="17" spans="1:4">
      <c r="A17" s="9" t="s">
        <v>461</v>
      </c>
      <c r="B17" s="9" t="s">
        <v>462</v>
      </c>
      <c r="C17" s="9" t="s">
        <v>463</v>
      </c>
      <c r="D17" s="9" t="s">
        <v>460</v>
      </c>
    </row>
    <row r="18" spans="1:4">
      <c r="A18" s="9" t="s">
        <v>464</v>
      </c>
      <c r="B18" s="9" t="s">
        <v>465</v>
      </c>
      <c r="C18" s="9" t="s">
        <v>466</v>
      </c>
      <c r="D18" s="9" t="s">
        <v>467</v>
      </c>
    </row>
    <row r="19" spans="1:4">
      <c r="A19" s="9" t="s">
        <v>468</v>
      </c>
      <c r="B19" s="9" t="s">
        <v>469</v>
      </c>
      <c r="C19" s="9" t="s">
        <v>470</v>
      </c>
      <c r="D19" s="9" t="s">
        <v>460</v>
      </c>
    </row>
    <row r="21" spans="1:4">
      <c r="A21" s="3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LEEME</vt:lpstr>
      <vt:lpstr>1_Productos</vt:lpstr>
      <vt:lpstr>2_Existencias_iniciales</vt:lpstr>
      <vt:lpstr>3_Reglas_reabastecimiento</vt:lpstr>
      <vt:lpstr>4_Proveedores</vt:lpstr>
      <vt:lpstr>5_Contactos_proveedores</vt:lpstr>
      <vt:lpstr>6_Productos_por_proveedor</vt:lpstr>
      <vt:lpstr>7_Clientes</vt:lpstr>
      <vt:lpstr>NO_IMPORTAR_carga_manual</vt:lpstr>
      <vt:lpstr>Diccionario</vt:lpstr>
      <vt:lpstr>Cuadre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2026-09-28T21:31:31Z</dcterms:created>
  <dcterms:modified xsi:type="dcterms:W3CDTF">2026-09-28T21:31:31Z</dcterms:modified>
</cp:coreProperties>
</file>